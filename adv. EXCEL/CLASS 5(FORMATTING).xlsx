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CC23DA2-43AC-44B2-8444-6B1AFB1C67C9}" xr6:coauthVersionLast="47" xr6:coauthVersionMax="47" xr10:uidLastSave="{00000000-0000-0000-0000-000000000000}"/>
  <bookViews>
    <workbookView xWindow="-110" yWindow="-110" windowWidth="19420" windowHeight="10300" xr2:uid="{72CD475E-531D-4334-A51D-745ED48529D5}"/>
  </bookViews>
  <sheets>
    <sheet name="Sheet1" sheetId="1" r:id="rId1"/>
  </sheets>
  <definedNames>
    <definedName name="_xlnm._FilterDatabase" localSheetId="0" hidden="1">Sheet1!$A$1:$G$20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" l="1"/>
  <c r="J5" i="1"/>
  <c r="L1" i="1" a="1"/>
  <c r="L1" i="1" s="1"/>
  <c r="K1" i="1" a="1"/>
  <c r="K1" i="1" s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<sst xmlns="http://schemas.openxmlformats.org/spreadsheetml/2006/main" count="51" uniqueCount="19">
  <si>
    <t>Clothing</t>
  </si>
  <si>
    <t>Member</t>
  </si>
  <si>
    <t>Electronics</t>
  </si>
  <si>
    <t>Regular</t>
  </si>
  <si>
    <t>Home Care</t>
  </si>
  <si>
    <t>New</t>
  </si>
  <si>
    <t>Grocery</t>
  </si>
  <si>
    <t>Personal Care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</si>
  <si>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</si>
  <si>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</si>
  <si>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</si>
  <si>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</si>
  <si>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</si>
  <si>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</si>
  <si>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</si>
  <si>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Concat</t>
  </si>
  <si>
    <t>sumifs</t>
  </si>
  <si>
    <t>countifs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</si>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</sst>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</dxf>
    <dxf>
      <font>
        <color theme="4" tint="0.39994506668294322"/>
      </font>
    </dxf>
    <dxf>
      <font>
        <b val="0"/>
        <i/>
        <color theme="9" tint="0.39994506668294322"/>
      </font>
    </dxf>
    <dxf>
      <font>
        <b val="0"/>
        <i/>
        <color theme="9" tint="0.39994506668294322"/>
      </font>
    </dxf>
    <dxf>
      <font>
        <b val="0"/>
        <i/>
        <color theme="9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F19A-940A-4B4C-8879-A6F99DBFBD3F}">
  <dimension ref="A1:L21"/>
  <sheetViews>
    <sheetView tabSelected="1" workbookViewId="0">
      <selection activeCell="J7" sqref="J7"/>
    </sheetView>
  </sheetViews>
  <sheetFormatPr defaultRowHeight="14.5" x14ac:dyDescent="0.35"/>
  <cols>
    <col min="1" max="6" width="16.6328125" customWidth="1"/>
    <col min="7" max="7" width="19.26953125" customWidth="1"/>
    <col min="8" max="8" width="18.81640625" customWidth="1"/>
    <col min="10" max="10" width="13.453125" customWidth="1"/>
    <col min="11" max="11" width="11.90625" customWidth="1"/>
    <col min="12" max="12" width="12.90625" customWidth="1"/>
  </cols>
  <sheetData>
    <row r="1" spans="1:12" ht="17.5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4" t="s">
        <v>14</v>
      </c>
      <c r="H1" s="4" t="s">
        <v>15</v>
      </c>
      <c r="J1" s="4" t="s">
        <v>16</v>
      </c>
      <c r="K1" t="str" cm="1">
        <f t="array" ref="K1:K6">_xlfn.UNIQUE(A1:A20,0,0)</f>
        <v>category</v>
      </c>
      <c r="L1" t="str" cm="1">
        <f t="array" ref="L1:L4">_xlfn.UNIQUE(G1:G20)</f>
        <v>customer_type</v>
      </c>
    </row>
    <row r="2" spans="1:12" ht="17.5" x14ac:dyDescent="0.35">
      <c r="A2" s="2" t="s">
        <v>0</v>
      </c>
      <c r="B2" s="2">
        <v>713.49</v>
      </c>
      <c r="C2" s="2">
        <v>0.31</v>
      </c>
      <c r="D2" s="2">
        <v>3</v>
      </c>
      <c r="E2" s="3">
        <v>45015</v>
      </c>
      <c r="F2" s="3">
        <v>45017</v>
      </c>
      <c r="G2" s="2" t="s">
        <v>1</v>
      </c>
      <c r="H2" t="str">
        <f>_xlfn.CONCAT(A2," ",C2)</f>
        <v>Clothing 0.31</v>
      </c>
      <c r="I2" t="s">
        <v>0</v>
      </c>
      <c r="J2">
        <f>SUMIFS(D2:D20,A2:A20,I2,G2:G20,I5)</f>
        <v>14</v>
      </c>
      <c r="K2" t="str">
        <v>Clothing</v>
      </c>
      <c r="L2" t="str">
        <v>Member</v>
      </c>
    </row>
    <row r="3" spans="1:12" ht="17.5" x14ac:dyDescent="0.35">
      <c r="A3" s="2" t="s">
        <v>2</v>
      </c>
      <c r="B3" s="2">
        <v>3802.97</v>
      </c>
      <c r="C3" s="2">
        <v>0.38</v>
      </c>
      <c r="D3" s="2">
        <v>4</v>
      </c>
      <c r="E3" s="3">
        <v>45166</v>
      </c>
      <c r="F3" s="3">
        <v>45172</v>
      </c>
      <c r="G3" s="2" t="s">
        <v>3</v>
      </c>
      <c r="H3" t="str">
        <f t="shared" ref="H3:H21" si="0">_xlfn.CONCAT(A3," ",C3)</f>
        <v>Electronics 0.38</v>
      </c>
      <c r="K3" t="str">
        <v>Electronics</v>
      </c>
      <c r="L3" t="str">
        <v>Regular</v>
      </c>
    </row>
    <row r="4" spans="1:12" ht="17.5" x14ac:dyDescent="0.35">
      <c r="A4" s="2" t="s">
        <v>4</v>
      </c>
      <c r="B4" s="2">
        <v>3588.97</v>
      </c>
      <c r="C4" s="2">
        <v>0.1</v>
      </c>
      <c r="D4" s="2">
        <v>7</v>
      </c>
      <c r="E4" s="3">
        <v>45360</v>
      </c>
      <c r="F4" s="3">
        <v>45366</v>
      </c>
      <c r="G4" s="2" t="s">
        <v>3</v>
      </c>
      <c r="H4" t="str">
        <f t="shared" si="0"/>
        <v>Home Care 0.1</v>
      </c>
      <c r="J4" s="5" t="s">
        <v>17</v>
      </c>
      <c r="K4" t="str">
        <v>Home Care</v>
      </c>
      <c r="L4" t="str">
        <v>New</v>
      </c>
    </row>
    <row r="5" spans="1:12" ht="17.5" x14ac:dyDescent="0.35">
      <c r="A5" s="2" t="s">
        <v>2</v>
      </c>
      <c r="B5" s="2">
        <v>1160.8599999999999</v>
      </c>
      <c r="C5" s="2">
        <v>0.27</v>
      </c>
      <c r="D5" s="2">
        <v>5</v>
      </c>
      <c r="E5" s="3">
        <v>45578</v>
      </c>
      <c r="F5" s="3">
        <v>45584</v>
      </c>
      <c r="G5" s="2" t="s">
        <v>1</v>
      </c>
      <c r="H5" t="str">
        <f t="shared" si="0"/>
        <v>Electronics 0.27</v>
      </c>
      <c r="I5" t="s">
        <v>1</v>
      </c>
      <c r="J5">
        <f>COUNTIFS(A1:A20,I2,G1:G20,I5)</f>
        <v>3</v>
      </c>
      <c r="K5" t="str">
        <v>Grocery</v>
      </c>
    </row>
    <row r="6" spans="1:12" ht="17.5" x14ac:dyDescent="0.35">
      <c r="A6" s="2" t="s">
        <v>2</v>
      </c>
      <c r="B6" s="2">
        <v>3071.32</v>
      </c>
      <c r="C6" s="2">
        <v>0</v>
      </c>
      <c r="D6" s="2">
        <v>7</v>
      </c>
      <c r="E6" s="3">
        <v>45022</v>
      </c>
      <c r="F6" s="3">
        <v>45025</v>
      </c>
      <c r="G6" s="2" t="s">
        <v>5</v>
      </c>
      <c r="H6" t="str">
        <f t="shared" si="0"/>
        <v>Electronics 0</v>
      </c>
      <c r="K6" t="str">
        <v>Personal Care</v>
      </c>
    </row>
    <row r="7" spans="1:12" ht="17.5" x14ac:dyDescent="0.35">
      <c r="A7" s="2" t="s">
        <v>6</v>
      </c>
      <c r="B7" s="2">
        <v>2566.1799999999998</v>
      </c>
      <c r="C7" s="2">
        <v>0.02</v>
      </c>
      <c r="D7" s="2">
        <v>6</v>
      </c>
      <c r="E7" s="3">
        <v>45108</v>
      </c>
      <c r="F7" s="3">
        <v>45111</v>
      </c>
      <c r="G7" s="2" t="s">
        <v>1</v>
      </c>
      <c r="H7" t="str">
        <f t="shared" si="0"/>
        <v>Grocery 0.02</v>
      </c>
      <c r="J7" s="5" t="s">
        <v>18</v>
      </c>
    </row>
    <row r="8" spans="1:12" ht="17.5" x14ac:dyDescent="0.35">
      <c r="A8" s="2" t="s">
        <v>7</v>
      </c>
      <c r="B8" s="2">
        <v>398</v>
      </c>
      <c r="C8" s="2">
        <v>0.16</v>
      </c>
      <c r="D8" s="2">
        <v>4</v>
      </c>
      <c r="E8" s="3">
        <v>45119</v>
      </c>
      <c r="F8" s="3">
        <v>45124</v>
      </c>
      <c r="G8" s="2" t="s">
        <v>5</v>
      </c>
      <c r="H8" t="str">
        <f t="shared" si="0"/>
        <v>Personal Care 0.16</v>
      </c>
      <c r="J8">
        <f>AVERAGEIFS(D1:D21,A1:A21,I2,G1:G21,I5)</f>
        <v>4.666666666666667</v>
      </c>
    </row>
    <row r="9" spans="1:12" ht="17.5" x14ac:dyDescent="0.35">
      <c r="A9" s="2" t="s">
        <v>7</v>
      </c>
      <c r="B9" s="2">
        <v>1462.95</v>
      </c>
      <c r="C9" s="2">
        <v>0.23</v>
      </c>
      <c r="D9" s="2">
        <v>2</v>
      </c>
      <c r="E9" s="3">
        <v>45064</v>
      </c>
      <c r="F9" s="3">
        <v>45066</v>
      </c>
      <c r="G9" s="2" t="s">
        <v>3</v>
      </c>
      <c r="H9" t="str">
        <f t="shared" si="0"/>
        <v>Personal Care 0.23</v>
      </c>
    </row>
    <row r="10" spans="1:12" ht="17.5" x14ac:dyDescent="0.35">
      <c r="A10" s="2" t="s">
        <v>7</v>
      </c>
      <c r="B10" s="2">
        <v>4997.47</v>
      </c>
      <c r="C10" s="2">
        <v>0.28999999999999998</v>
      </c>
      <c r="D10" s="2">
        <v>6</v>
      </c>
      <c r="E10" s="3">
        <v>45296</v>
      </c>
      <c r="F10" s="3">
        <v>45299</v>
      </c>
      <c r="G10" s="2" t="s">
        <v>3</v>
      </c>
      <c r="H10" t="str">
        <f t="shared" si="0"/>
        <v>Personal Care 0.29</v>
      </c>
    </row>
    <row r="11" spans="1:12" ht="17.5" x14ac:dyDescent="0.35">
      <c r="A11" s="2" t="s">
        <v>6</v>
      </c>
      <c r="B11" s="2">
        <v>587.72</v>
      </c>
      <c r="C11" s="2">
        <v>0.44</v>
      </c>
      <c r="D11" s="2">
        <v>6</v>
      </c>
      <c r="E11" s="3">
        <v>45514</v>
      </c>
      <c r="F11" s="3">
        <v>45521</v>
      </c>
      <c r="G11" s="2" t="s">
        <v>5</v>
      </c>
      <c r="H11" t="str">
        <f t="shared" si="0"/>
        <v>Grocery 0.44</v>
      </c>
    </row>
    <row r="12" spans="1:12" ht="17.5" x14ac:dyDescent="0.35">
      <c r="A12" s="2" t="s">
        <v>0</v>
      </c>
      <c r="B12" s="2">
        <v>2581.42</v>
      </c>
      <c r="C12" s="2">
        <v>0.39</v>
      </c>
      <c r="D12" s="2">
        <v>6</v>
      </c>
      <c r="E12" s="3">
        <v>45419</v>
      </c>
      <c r="F12" s="3">
        <v>45420</v>
      </c>
      <c r="G12" s="2" t="s">
        <v>3</v>
      </c>
      <c r="H12" t="str">
        <f t="shared" si="0"/>
        <v>Clothing 0.39</v>
      </c>
    </row>
    <row r="13" spans="1:12" ht="17.5" x14ac:dyDescent="0.35">
      <c r="A13" s="2" t="s">
        <v>0</v>
      </c>
      <c r="B13" s="2">
        <v>4261.74</v>
      </c>
      <c r="C13" s="2">
        <v>0.15</v>
      </c>
      <c r="D13" s="2">
        <v>1</v>
      </c>
      <c r="E13" s="3">
        <v>45171</v>
      </c>
      <c r="F13" s="3">
        <v>45172</v>
      </c>
      <c r="G13" s="2" t="s">
        <v>5</v>
      </c>
      <c r="H13" t="str">
        <f t="shared" si="0"/>
        <v>Clothing 0.15</v>
      </c>
    </row>
    <row r="14" spans="1:12" ht="17.5" x14ac:dyDescent="0.35">
      <c r="A14" s="2" t="s">
        <v>4</v>
      </c>
      <c r="B14" s="2">
        <v>1573.19</v>
      </c>
      <c r="C14" s="2">
        <v>0.37</v>
      </c>
      <c r="D14" s="2">
        <v>6</v>
      </c>
      <c r="E14" s="3">
        <v>45331</v>
      </c>
      <c r="F14" s="3">
        <v>45338</v>
      </c>
      <c r="G14" s="2" t="s">
        <v>5</v>
      </c>
      <c r="H14" t="str">
        <f t="shared" si="0"/>
        <v>Home Care 0.37</v>
      </c>
    </row>
    <row r="15" spans="1:12" ht="17.5" x14ac:dyDescent="0.35">
      <c r="A15" s="2" t="s">
        <v>0</v>
      </c>
      <c r="B15" s="2">
        <v>1377.47</v>
      </c>
      <c r="C15" s="2">
        <v>0.27</v>
      </c>
      <c r="D15" s="2">
        <v>2</v>
      </c>
      <c r="E15" s="3">
        <v>45074</v>
      </c>
      <c r="F15" s="3">
        <v>45075</v>
      </c>
      <c r="G15" s="2" t="s">
        <v>1</v>
      </c>
      <c r="H15" t="str">
        <f t="shared" si="0"/>
        <v>Clothing 0.27</v>
      </c>
    </row>
    <row r="16" spans="1:12" ht="17.5" x14ac:dyDescent="0.35">
      <c r="A16" s="2" t="s">
        <v>0</v>
      </c>
      <c r="B16" s="2">
        <v>4464.8900000000003</v>
      </c>
      <c r="C16" s="2">
        <v>0.39</v>
      </c>
      <c r="D16" s="2">
        <v>5</v>
      </c>
      <c r="E16" s="3">
        <v>45296</v>
      </c>
      <c r="F16" s="3">
        <v>45303</v>
      </c>
      <c r="G16" s="2" t="s">
        <v>3</v>
      </c>
      <c r="H16" t="str">
        <f t="shared" si="0"/>
        <v>Clothing 0.39</v>
      </c>
    </row>
    <row r="17" spans="1:10" ht="17.5" x14ac:dyDescent="0.35">
      <c r="A17" s="2" t="s">
        <v>7</v>
      </c>
      <c r="B17" s="2">
        <v>1593.67</v>
      </c>
      <c r="C17" s="2">
        <v>0.21</v>
      </c>
      <c r="D17" s="2">
        <v>7</v>
      </c>
      <c r="E17" s="3">
        <v>45583</v>
      </c>
      <c r="F17" s="3">
        <v>45587</v>
      </c>
      <c r="G17" s="2" t="s">
        <v>1</v>
      </c>
      <c r="H17" t="str">
        <f t="shared" si="0"/>
        <v>Personal Care 0.21</v>
      </c>
    </row>
    <row r="18" spans="1:10" ht="17.5" x14ac:dyDescent="0.35">
      <c r="A18" s="2" t="s">
        <v>2</v>
      </c>
      <c r="B18" s="2">
        <v>3292.32</v>
      </c>
      <c r="C18" s="2">
        <v>0.05</v>
      </c>
      <c r="D18" s="2">
        <v>1</v>
      </c>
      <c r="E18" s="3">
        <v>45042</v>
      </c>
      <c r="F18" s="3">
        <v>45043</v>
      </c>
      <c r="G18" s="2" t="s">
        <v>1</v>
      </c>
      <c r="H18" t="str">
        <f t="shared" si="0"/>
        <v>Electronics 0.05</v>
      </c>
    </row>
    <row r="19" spans="1:10" ht="17.5" x14ac:dyDescent="0.35">
      <c r="A19" s="2" t="s">
        <v>0</v>
      </c>
      <c r="B19" s="2">
        <v>3727.53</v>
      </c>
      <c r="C19" s="2">
        <v>0.31</v>
      </c>
      <c r="D19" s="2">
        <v>5</v>
      </c>
      <c r="E19" s="3">
        <v>45228</v>
      </c>
      <c r="F19" s="3">
        <v>45235</v>
      </c>
      <c r="G19" s="2" t="s">
        <v>3</v>
      </c>
      <c r="H19" t="str">
        <f t="shared" si="0"/>
        <v>Clothing 0.31</v>
      </c>
    </row>
    <row r="20" spans="1:10" ht="17.5" x14ac:dyDescent="0.35">
      <c r="A20" s="2" t="s">
        <v>0</v>
      </c>
      <c r="B20" s="2">
        <v>3964.23</v>
      </c>
      <c r="C20" s="2">
        <v>0.28000000000000003</v>
      </c>
      <c r="D20" s="2">
        <v>9</v>
      </c>
      <c r="E20" s="3">
        <v>45448</v>
      </c>
      <c r="F20" s="3">
        <v>45451</v>
      </c>
      <c r="G20" s="2" t="s">
        <v>1</v>
      </c>
      <c r="H20" t="str">
        <f t="shared" si="0"/>
        <v>Clothing 0.28</v>
      </c>
    </row>
    <row r="21" spans="1:10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 t="str">
        <f t="shared" si="0"/>
        <v>1 1</v>
      </c>
      <c r="I21">
        <v>1</v>
      </c>
      <c r="J21">
        <v>1</v>
      </c>
    </row>
  </sheetData>
  <autoFilter ref="A1:G20" xr:uid="{C00FF19A-940A-4B4C-8879-A6F99DBFBD3F}"/>
  <conditionalFormatting sqref="C1:C20 C22:C1048576">
    <cfRule type="iconSet" priority="5">
      <iconSet>
        <cfvo type="percent" val="0"/>
        <cfvo type="num" val="0.2"/>
        <cfvo type="num" val="0.39"/>
      </iconSet>
    </cfRule>
  </conditionalFormatting>
  <conditionalFormatting sqref="D1:D20 D22:D1048576">
    <cfRule type="top10" dxfId="0" priority="1" rank="2"/>
  </conditionalFormatting>
  <dataValidations count="2">
    <dataValidation type="list" allowBlank="1" showInputMessage="1" showErrorMessage="1" sqref="I2" xr:uid="{5F04E10B-A59B-48FD-965A-5B7C26A3D93F}">
      <formula1>$K$1:$K$6</formula1>
    </dataValidation>
    <dataValidation type="list" allowBlank="1" showInputMessage="1" showErrorMessage="1" sqref="I5" xr:uid="{96578293-E450-4C35-8840-C2B30370EB78}">
      <formula1>$L$1:$L$4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2026-08-20T00:01:03Z</dcterms:created>
  <dcterms:modified xsi:type="dcterms:W3CDTF">2026-08-20T01:30:03Z</dcterms:modified>
</cp:coreProperties>
</file>