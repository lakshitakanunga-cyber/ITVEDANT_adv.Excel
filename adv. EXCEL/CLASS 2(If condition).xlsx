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0B9A1A8-78B0-4B0A-A847-E0CF83BDE72A}" xr6:coauthVersionLast="47" xr6:coauthVersionMax="47" xr10:uidLastSave="{00000000-0000-0000-0000-000000000000}"/>
  <bookViews>
    <workbookView xWindow="-110" yWindow="-110" windowWidth="19420" windowHeight="10300" xr2:uid="{36A636F9-F95B-4CA7-9025-F4391441C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M3" i="1"/>
  <c r="M2" i="1"/>
  <c r="M4" i="1"/>
  <c r="M5" i="1"/>
  <c r="M6" i="1"/>
  <c r="L2" i="1"/>
  <c r="L4" i="1"/>
  <c r="L5" i="1"/>
  <c r="L6" i="1"/>
  <c r="L3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<sst xmlns="http://schemas.openxmlformats.org/spreadsheetml/2006/main" count="29" uniqueCount="23">
  <si>
    <t>IDD</t>
  </si>
  <si>
    <t>FNAME</t>
  </si>
  <si>
    <t>LNAME</t>
  </si>
  <si>
    <t>AGE</t>
  </si>
  <si>
    <t>STATE</t>
  </si>
  <si>
    <t>COUNT</t>
  </si>
  <si>
    <t>COUNTA</t>
  </si>
  <si>
    <t>COUNTBLANK</t>
  </si>
  <si>
    <t>LENGTH</t>
  </si>
  <si>
    <t>TRIM</t>
  </si>
  <si>
    <t>ABC</t>
  </si>
  <si>
    <t>DEF</t>
  </si>
  <si>
    <t>GHI</t>
  </si>
  <si>
    <t>JKL</t>
  </si>
  <si>
    <t>MNO</t>
  </si>
  <si>
    <t>STU</t>
  </si>
  <si>
    <t>VWX</t>
  </si>
  <si>
    <t>YZA</t>
  </si>
  <si>
    <t>ACD</t>
  </si>
  <si>
    <t>G.J</t>
  </si>
  <si>
    <t>M.H</t>
  </si>
  <si>
    <t>IF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</si>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</sst>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89E6-AFDE-4A5B-A050-195DD2C93C98}">
  <dimension ref="A1:O8"/>
  <sheetViews>
    <sheetView tabSelected="1" workbookViewId="0">
      <selection activeCell="O2" sqref="O2"/>
    </sheetView>
  </sheetViews>
  <sheetFormatPr defaultRowHeight="14.5" x14ac:dyDescent="0.35"/>
  <cols>
    <col min="9" max="9" width="13.6328125" customWidth="1"/>
    <col min="12" max="12" width="11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21</v>
      </c>
      <c r="M1" t="s">
        <v>21</v>
      </c>
      <c r="N1" t="s">
        <v>22</v>
      </c>
    </row>
    <row r="2" spans="1:15" x14ac:dyDescent="0.35">
      <c r="A2">
        <v>1213</v>
      </c>
      <c r="B2" t="s">
        <v>10</v>
      </c>
      <c r="D2">
        <v>20</v>
      </c>
      <c r="E2" t="s">
        <v>19</v>
      </c>
      <c r="G2">
        <f>COUNT(A2:E2)</f>
        <v>2</v>
      </c>
      <c r="H2">
        <f>COUNTA(A2:E2)</f>
        <v>4</v>
      </c>
      <c r="I2">
        <f>COUNTBLANK(A2:E2)</f>
        <v>1</v>
      </c>
      <c r="J2">
        <f>LEN(A2)</f>
        <v>4</v>
      </c>
      <c r="K2" t="str">
        <f>TRIM(A2)</f>
        <v>1213</v>
      </c>
      <c r="L2" t="str">
        <f>IF(D2&gt;D8,"ELIGIBLE","NOT ELIGIBLE")</f>
        <v>NOT ELIGIBLE</v>
      </c>
      <c r="M2" t="str">
        <f>IF(E2=$E$8,B2,"NOT")</f>
        <v>ABC</v>
      </c>
      <c r="N2">
        <f>SUMIF(E2:E6,E8,D2:D6)</f>
        <v>63</v>
      </c>
      <c r="O2" t="s">
        <v>18</v>
      </c>
    </row>
    <row r="3" spans="1:15" x14ac:dyDescent="0.35">
      <c r="A3">
        <v>1234</v>
      </c>
      <c r="B3" t="s">
        <v>11</v>
      </c>
      <c r="C3" t="s">
        <v>15</v>
      </c>
      <c r="D3">
        <v>24</v>
      </c>
      <c r="E3" t="s">
        <v>20</v>
      </c>
      <c r="G3">
        <f t="shared" ref="G3:G6" si="0">COUNT(A3:E3)</f>
        <v>2</v>
      </c>
      <c r="H3">
        <f t="shared" ref="H3:H6" si="1">COUNTA(A3:E3)</f>
        <v>5</v>
      </c>
      <c r="I3">
        <f t="shared" ref="I3:I6" si="2">COUNTBLANK(A3:E3)</f>
        <v>0</v>
      </c>
      <c r="J3">
        <f t="shared" ref="J3:J6" si="3">LEN(A3)</f>
        <v>4</v>
      </c>
      <c r="K3" t="str">
        <f t="shared" ref="K3:K6" si="4">TRIM(A3)</f>
        <v>1234</v>
      </c>
      <c r="L3" t="str">
        <f>IF(D3&gt;$D$8,"ELIGIBLE","NOT ELIGIBLE")</f>
        <v>ELIGIBLE</v>
      </c>
      <c r="M3" t="str">
        <f>IF(E3=$E$8,B2,"NOT")</f>
        <v>NOT</v>
      </c>
    </row>
    <row r="4" spans="1:15" x14ac:dyDescent="0.35">
      <c r="B4" t="s">
        <v>12</v>
      </c>
      <c r="C4" t="s">
        <v>16</v>
      </c>
      <c r="D4">
        <v>23</v>
      </c>
      <c r="E4" t="s">
        <v>19</v>
      </c>
      <c r="G4">
        <f t="shared" si="0"/>
        <v>1</v>
      </c>
      <c r="H4">
        <f t="shared" si="1"/>
        <v>4</v>
      </c>
      <c r="I4">
        <f t="shared" si="2"/>
        <v>1</v>
      </c>
      <c r="J4">
        <f t="shared" si="3"/>
        <v>0</v>
      </c>
      <c r="K4" t="str">
        <f t="shared" si="4"/>
        <v/>
      </c>
      <c r="L4" t="str">
        <f t="shared" ref="L4:L6" si="5">IF(D4&gt;$D$8,"ELIGIBLE","NOT ELIGIBLE")</f>
        <v>ELIGIBLE</v>
      </c>
      <c r="M4" t="str">
        <f t="shared" ref="M3:M6" si="6">IF(E4=$E$8,"B2","NOT")</f>
        <v>B2</v>
      </c>
    </row>
    <row r="5" spans="1:15" x14ac:dyDescent="0.35">
      <c r="A5">
        <v>12</v>
      </c>
      <c r="B5" t="s">
        <v>13</v>
      </c>
      <c r="C5" t="s">
        <v>17</v>
      </c>
      <c r="D5">
        <v>22</v>
      </c>
      <c r="E5" t="s">
        <v>20</v>
      </c>
      <c r="G5">
        <f t="shared" si="0"/>
        <v>2</v>
      </c>
      <c r="H5">
        <f t="shared" si="1"/>
        <v>5</v>
      </c>
      <c r="I5">
        <f t="shared" si="2"/>
        <v>0</v>
      </c>
      <c r="J5">
        <f t="shared" si="3"/>
        <v>2</v>
      </c>
      <c r="K5" t="str">
        <f t="shared" si="4"/>
        <v>12</v>
      </c>
      <c r="L5" t="str">
        <f t="shared" si="5"/>
        <v>ELIGIBLE</v>
      </c>
      <c r="M5" t="str">
        <f t="shared" si="6"/>
        <v>NOT</v>
      </c>
    </row>
    <row r="6" spans="1:15" x14ac:dyDescent="0.35">
      <c r="A6">
        <v>9101</v>
      </c>
      <c r="B6" t="s">
        <v>14</v>
      </c>
      <c r="C6" t="s">
        <v>18</v>
      </c>
      <c r="D6">
        <v>20</v>
      </c>
      <c r="E6" t="s">
        <v>19</v>
      </c>
      <c r="G6">
        <f t="shared" si="0"/>
        <v>2</v>
      </c>
      <c r="H6">
        <f t="shared" si="1"/>
        <v>5</v>
      </c>
      <c r="I6">
        <f t="shared" si="2"/>
        <v>0</v>
      </c>
      <c r="J6">
        <f t="shared" si="3"/>
        <v>4</v>
      </c>
      <c r="K6" t="str">
        <f t="shared" si="4"/>
        <v>9101</v>
      </c>
      <c r="L6" t="str">
        <f t="shared" si="5"/>
        <v>NOT ELIGIBLE</v>
      </c>
      <c r="M6" t="str">
        <f t="shared" si="6"/>
        <v>B2</v>
      </c>
    </row>
    <row r="8" spans="1:15" x14ac:dyDescent="0.35">
      <c r="D8">
        <v>21</v>
      </c>
      <c r="E8" t="s">
        <v>19</v>
      </c>
    </row>
  </sheetData>
  <sortState xmlns:xlrd2="http://schemas.microsoft.com/office/spreadsheetml/2017/richdata2" ref="A2:E6">
    <sortCondition ref="A2:A6"/>
  </sortState>
  <dataValidations count="1">
    <dataValidation type="list" allowBlank="1" showInputMessage="1" showErrorMessage="1" sqref="O2" xr:uid="{09500CDD-87E4-4B57-8B45-A8A91F54207F}">
      <formula1>$C$2:$C$6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2026-08-11T12:18:25Z</dcterms:created>
  <dcterms:modified xsi:type="dcterms:W3CDTF">2026-08-11T12:57:22Z</dcterms:modified>
</cp:coreProperties>
</file>