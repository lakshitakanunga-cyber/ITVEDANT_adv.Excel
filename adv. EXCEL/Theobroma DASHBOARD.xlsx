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F9D79BB0-E1D3-4255-8AB1-F904562DB20A}" xr6:coauthVersionLast="47" xr6:coauthVersionMax="47" xr10:uidLastSave="{00000000-0000-0000-0000-000000000000}"/>
  <bookViews>
    <workbookView xWindow="-110" yWindow="-110" windowWidth="19420" windowHeight="10300" activeTab="1" xr2:uid="{00000000-000D-0000-FFFF-FFFF00000000}"/>
  </bookViews>
  <sheets>
    <sheet name="Pivot Table" sheetId="3" r:id="rId1"/>
    <sheet name="Dashboard" sheetId="4" r:id="rId2"/>
    <sheet name="Theobroma Raw Data" sheetId="1" r:id="rId3"/>
  </sheets>
  <definedNames>
    <definedName name="_xlnm._FilterDatabase" localSheetId="2" hidden="1">'Theobroma Raw Data'!$A$1:$O$201</definedName>
    <definedName name="Slicer_Category">#N/A</definedName>
    <definedName name="Slicer_City">#N/A</definedName>
    <definedName name="Slicer_Stor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60" i="3" l="1"/>
  <c r="I14" i="3"/>
</calcChain>
</file>

<file path=xl/sharedStrings.xml><?xml version="1.0" encoding="utf-8"?>
<sst xmlns="http://schemas.openxmlformats.org/spreadsheetml/2006/main" count="1531" uniqueCount="284">
  <si>
    <t>Order ID</t>
  </si>
  <si>
    <t>Order Date</t>
  </si>
  <si>
    <t>City</t>
  </si>
  <si>
    <t>Store</t>
  </si>
  <si>
    <t>Product</t>
  </si>
  <si>
    <t>Category</t>
  </si>
  <si>
    <t>Quantity</t>
  </si>
  <si>
    <t>Unit Price</t>
  </si>
  <si>
    <t>Discount %</t>
  </si>
  <si>
    <t>Discount Amount</t>
  </si>
  <si>
    <t>Net Sales</t>
  </si>
  <si>
    <t>Cost</t>
  </si>
  <si>
    <t>Profit</t>
  </si>
  <si>
    <t>Sales Channel</t>
  </si>
  <si>
    <t>Payment Method</t>
  </si>
  <si>
    <t>ORD10155</t>
  </si>
  <si>
    <t>Ahmedabad</t>
  </si>
  <si>
    <t>Theobroma - Prahlad Nagar</t>
  </si>
  <si>
    <t>Dutch Truffle Cake</t>
  </si>
  <si>
    <t>Cakes</t>
  </si>
  <si>
    <t>Online</t>
  </si>
  <si>
    <t>Debit Card</t>
  </si>
  <si>
    <t>ORD10009</t>
  </si>
  <si>
    <t>Surat</t>
  </si>
  <si>
    <t>Theobroma - Adajan</t>
  </si>
  <si>
    <t>Pineapple Cake</t>
  </si>
  <si>
    <t>Credit Card</t>
  </si>
  <si>
    <t>ORD10063</t>
  </si>
  <si>
    <t>Theobroma - Vesu</t>
  </si>
  <si>
    <t>New York Cheesecake</t>
  </si>
  <si>
    <t>Desserts</t>
  </si>
  <si>
    <t>Wallet</t>
  </si>
  <si>
    <t>ORD10044</t>
  </si>
  <si>
    <t>Red Velvet Cake</t>
  </si>
  <si>
    <t>Delivery</t>
  </si>
  <si>
    <t>ORD10195</t>
  </si>
  <si>
    <t>Vadodara</t>
  </si>
  <si>
    <t>Theobroma - Alkapuri</t>
  </si>
  <si>
    <t>Chocolate Mousse</t>
  </si>
  <si>
    <t>Cash</t>
  </si>
  <si>
    <t>ORD10054</t>
  </si>
  <si>
    <t>UPI</t>
  </si>
  <si>
    <t>ORD10188</t>
  </si>
  <si>
    <t>Delhi</t>
  </si>
  <si>
    <t>Theobroma - Saket</t>
  </si>
  <si>
    <t>Tiramisu</t>
  </si>
  <si>
    <t>ORD10103</t>
  </si>
  <si>
    <t>Theobroma - CG Road</t>
  </si>
  <si>
    <t>Millionaire Brownie</t>
  </si>
  <si>
    <t>Brownies</t>
  </si>
  <si>
    <t>ORD10057</t>
  </si>
  <si>
    <t>ORD10069</t>
  </si>
  <si>
    <t>Chocolate Truffle Cake</t>
  </si>
  <si>
    <t>ORD10072</t>
  </si>
  <si>
    <t>Mumbai</t>
  </si>
  <si>
    <t>Theobroma - Powai</t>
  </si>
  <si>
    <t>Chocolate Chip Cookie</t>
  </si>
  <si>
    <t>Cookies</t>
  </si>
  <si>
    <t>ORD10134</t>
  </si>
  <si>
    <t>ORD10092</t>
  </si>
  <si>
    <t>ORD10199</t>
  </si>
  <si>
    <t>Red Velvet Cookie</t>
  </si>
  <si>
    <t>ORD10073</t>
  </si>
  <si>
    <t>Pune</t>
  </si>
  <si>
    <t>Theobroma - Koregaon Park</t>
  </si>
  <si>
    <t>Almond Croissant</t>
  </si>
  <si>
    <t>Pastries</t>
  </si>
  <si>
    <t>ORD10036</t>
  </si>
  <si>
    <t>Cinnamon Roll</t>
  </si>
  <si>
    <t>ORD10150</t>
  </si>
  <si>
    <t>Theobroma - Andheri</t>
  </si>
  <si>
    <t>ORD10141</t>
  </si>
  <si>
    <t>ORD10128</t>
  </si>
  <si>
    <t>ORD10152</t>
  </si>
  <si>
    <t>ORD10071</t>
  </si>
  <si>
    <t>Fresh Cream Cake</t>
  </si>
  <si>
    <t>ORD10034</t>
  </si>
  <si>
    <t>ORD10124</t>
  </si>
  <si>
    <t>ORD10075</t>
  </si>
  <si>
    <t>ORD10136</t>
  </si>
  <si>
    <t>ORD10078</t>
  </si>
  <si>
    <t>Bengaluru</t>
  </si>
  <si>
    <t>Theobroma - Indiranagar</t>
  </si>
  <si>
    <t>Banana Walnut Cake</t>
  </si>
  <si>
    <t>Tea Cakes</t>
  </si>
  <si>
    <t>ORD10114</t>
  </si>
  <si>
    <t>Walnut Brownie</t>
  </si>
  <si>
    <t>ORD10004</t>
  </si>
  <si>
    <t>Choco Chip Brownie</t>
  </si>
  <si>
    <t>ORD10186</t>
  </si>
  <si>
    <t>ORD10131</t>
  </si>
  <si>
    <t>ORD10182</t>
  </si>
  <si>
    <t>ORD10138</t>
  </si>
  <si>
    <t>ORD10046</t>
  </si>
  <si>
    <t>ORD10074</t>
  </si>
  <si>
    <t>ORD10193</t>
  </si>
  <si>
    <t>ORD10035</t>
  </si>
  <si>
    <t>ORD10145</t>
  </si>
  <si>
    <t>ORD10028</t>
  </si>
  <si>
    <t>ORD10102</t>
  </si>
  <si>
    <t>Blueberry Cheesecake</t>
  </si>
  <si>
    <t>ORD10030</t>
  </si>
  <si>
    <t>ORD10007</t>
  </si>
  <si>
    <t>Chocolate Croissant</t>
  </si>
  <si>
    <t>ORD10027</t>
  </si>
  <si>
    <t>ORD10051</t>
  </si>
  <si>
    <t>Classic Croissant</t>
  </si>
  <si>
    <t>ORD10120</t>
  </si>
  <si>
    <t>ORD10016</t>
  </si>
  <si>
    <t>ORD10091</t>
  </si>
  <si>
    <t>ORD10118</t>
  </si>
  <si>
    <t>ORD10106</t>
  </si>
  <si>
    <t>Gurugram</t>
  </si>
  <si>
    <t>Theobroma - Cyber Hub</t>
  </si>
  <si>
    <t>ORD10013</t>
  </si>
  <si>
    <t>ORD10026</t>
  </si>
  <si>
    <t>ORD10162</t>
  </si>
  <si>
    <t>ORD10098</t>
  </si>
  <si>
    <t>ORD10112</t>
  </si>
  <si>
    <t>ORD10177</t>
  </si>
  <si>
    <t>ORD10194</t>
  </si>
  <si>
    <t>ORD10184</t>
  </si>
  <si>
    <t>ORD10149</t>
  </si>
  <si>
    <t>ORD10019</t>
  </si>
  <si>
    <t>ORD10020</t>
  </si>
  <si>
    <t>ORD10061</t>
  </si>
  <si>
    <t>ORD10130</t>
  </si>
  <si>
    <t>ORD10122</t>
  </si>
  <si>
    <t>ORD10158</t>
  </si>
  <si>
    <t>ORD10190</t>
  </si>
  <si>
    <t>ORD10154</t>
  </si>
  <si>
    <t>Double Chocolate Cookie</t>
  </si>
  <si>
    <t>ORD10160</t>
  </si>
  <si>
    <t>ORD10110</t>
  </si>
  <si>
    <t>ORD10168</t>
  </si>
  <si>
    <t>ORD10129</t>
  </si>
  <si>
    <t>ORD10081</t>
  </si>
  <si>
    <t>ORD10156</t>
  </si>
  <si>
    <t>ORD10005</t>
  </si>
  <si>
    <t>ORD10047</t>
  </si>
  <si>
    <t>ORD10157</t>
  </si>
  <si>
    <t>ORD10066</t>
  </si>
  <si>
    <t>ORD10045</t>
  </si>
  <si>
    <t>ORD10095</t>
  </si>
  <si>
    <t>ORD10104</t>
  </si>
  <si>
    <t>ORD10144</t>
  </si>
  <si>
    <t>ORD10163</t>
  </si>
  <si>
    <t>ORD10014</t>
  </si>
  <si>
    <t>ORD10056</t>
  </si>
  <si>
    <t>ORD10006</t>
  </si>
  <si>
    <t>ORD10143</t>
  </si>
  <si>
    <t>ORD10153</t>
  </si>
  <si>
    <t>ORD10200</t>
  </si>
  <si>
    <t>ORD10038</t>
  </si>
  <si>
    <t>ORD10096</t>
  </si>
  <si>
    <t>ORD10180</t>
  </si>
  <si>
    <t>ORD10001</t>
  </si>
  <si>
    <t>ORD10008</t>
  </si>
  <si>
    <t>ORD10012</t>
  </si>
  <si>
    <t>ORD10115</t>
  </si>
  <si>
    <t>ORD10018</t>
  </si>
  <si>
    <t>ORD10107</t>
  </si>
  <si>
    <t>ORD10197</t>
  </si>
  <si>
    <t>ORD10015</t>
  </si>
  <si>
    <t>ORD10023</t>
  </si>
  <si>
    <t>ORD10079</t>
  </si>
  <si>
    <t>ORD10125</t>
  </si>
  <si>
    <t>ORD10064</t>
  </si>
  <si>
    <t>ORD10053</t>
  </si>
  <si>
    <t>ORD10121</t>
  </si>
  <si>
    <t>ORD10021</t>
  </si>
  <si>
    <t>ORD10002</t>
  </si>
  <si>
    <t>ORD10117</t>
  </si>
  <si>
    <t>ORD10082</t>
  </si>
  <si>
    <t>ORD10146</t>
  </si>
  <si>
    <t>ORD10087</t>
  </si>
  <si>
    <t>ORD10135</t>
  </si>
  <si>
    <t>ORD10029</t>
  </si>
  <si>
    <t>ORD10187</t>
  </si>
  <si>
    <t>ORD10024</t>
  </si>
  <si>
    <t>ORD10003</t>
  </si>
  <si>
    <t>ORD10189</t>
  </si>
  <si>
    <t>ORD10010</t>
  </si>
  <si>
    <t>ORD10109</t>
  </si>
  <si>
    <t>ORD10094</t>
  </si>
  <si>
    <t>ORD10165</t>
  </si>
  <si>
    <t>ORD10132</t>
  </si>
  <si>
    <t>ORD10164</t>
  </si>
  <si>
    <t>ORD10085</t>
  </si>
  <si>
    <t>ORD10040</t>
  </si>
  <si>
    <t>ORD10172</t>
  </si>
  <si>
    <t>ORD10049</t>
  </si>
  <si>
    <t>ORD10126</t>
  </si>
  <si>
    <t>ORD10055</t>
  </si>
  <si>
    <t>ORD10191</t>
  </si>
  <si>
    <t>ORD10090</t>
  </si>
  <si>
    <t>ORD10111</t>
  </si>
  <si>
    <t>ORD10119</t>
  </si>
  <si>
    <t>ORD10099</t>
  </si>
  <si>
    <t>ORD10198</t>
  </si>
  <si>
    <t>ORD10041</t>
  </si>
  <si>
    <t>ORD10080</t>
  </si>
  <si>
    <t>ORD10169</t>
  </si>
  <si>
    <t>ORD10067</t>
  </si>
  <si>
    <t>ORD10060</t>
  </si>
  <si>
    <t>ORD10147</t>
  </si>
  <si>
    <t>ORD10171</t>
  </si>
  <si>
    <t>ORD10058</t>
  </si>
  <si>
    <t>ORD10185</t>
  </si>
  <si>
    <t>ORD10173</t>
  </si>
  <si>
    <t>ORD10179</t>
  </si>
  <si>
    <t>ORD10097</t>
  </si>
  <si>
    <t>ORD10108</t>
  </si>
  <si>
    <t>ORD10142</t>
  </si>
  <si>
    <t>ORD10133</t>
  </si>
  <si>
    <t>ORD10062</t>
  </si>
  <si>
    <t>ORD10139</t>
  </si>
  <si>
    <t>ORD10084</t>
  </si>
  <si>
    <t>ORD10113</t>
  </si>
  <si>
    <t>ORD10166</t>
  </si>
  <si>
    <t>ORD10170</t>
  </si>
  <si>
    <t>ORD10089</t>
  </si>
  <si>
    <t>ORD10196</t>
  </si>
  <si>
    <t>ORD10011</t>
  </si>
  <si>
    <t>ORD10093</t>
  </si>
  <si>
    <t>ORD10086</t>
  </si>
  <si>
    <t>ORD10148</t>
  </si>
  <si>
    <t>ORD10050</t>
  </si>
  <si>
    <t>ORD10140</t>
  </si>
  <si>
    <t>ORD10116</t>
  </si>
  <si>
    <t>ORD10052</t>
  </si>
  <si>
    <t>ORD10181</t>
  </si>
  <si>
    <t>ORD10175</t>
  </si>
  <si>
    <t>ORD10042</t>
  </si>
  <si>
    <t>ORD10025</t>
  </si>
  <si>
    <t>ORD10192</t>
  </si>
  <si>
    <t>ORD10032</t>
  </si>
  <si>
    <t>ORD10161</t>
  </si>
  <si>
    <t>ORD10048</t>
  </si>
  <si>
    <t>ORD10088</t>
  </si>
  <si>
    <t>ORD10039</t>
  </si>
  <si>
    <t>ORD10059</t>
  </si>
  <si>
    <t>ORD10151</t>
  </si>
  <si>
    <t>ORD10068</t>
  </si>
  <si>
    <t>ORD10178</t>
  </si>
  <si>
    <t>ORD10083</t>
  </si>
  <si>
    <t>ORD10101</t>
  </si>
  <si>
    <t>ORD10031</t>
  </si>
  <si>
    <t>ORD10167</t>
  </si>
  <si>
    <t>ORD10017</t>
  </si>
  <si>
    <t>ORD10022</t>
  </si>
  <si>
    <t>ORD10043</t>
  </si>
  <si>
    <t>ORD10123</t>
  </si>
  <si>
    <t>ORD10174</t>
  </si>
  <si>
    <t>ORD10076</t>
  </si>
  <si>
    <t>ORD10137</t>
  </si>
  <si>
    <t>ORD10077</t>
  </si>
  <si>
    <t>ORD10105</t>
  </si>
  <si>
    <t>ORD10037</t>
  </si>
  <si>
    <t>ORD10065</t>
  </si>
  <si>
    <t>ORD10070</t>
  </si>
  <si>
    <t>ORD10100</t>
  </si>
  <si>
    <t>ORD10127</t>
  </si>
  <si>
    <t>ORD10159</t>
  </si>
  <si>
    <t>ORD10183</t>
  </si>
  <si>
    <t>ORD10033</t>
  </si>
  <si>
    <t>ORD10176</t>
  </si>
  <si>
    <t>Row Labels</t>
  </si>
  <si>
    <t>Grand Total</t>
  </si>
  <si>
    <t>Sum of Profit</t>
  </si>
  <si>
    <t>Sum of Net Sales</t>
  </si>
  <si>
    <t>Sum of Quantity</t>
  </si>
  <si>
    <t>Count of Order ID</t>
  </si>
  <si>
    <t>Column Labels</t>
  </si>
  <si>
    <t>Average of Discount %</t>
  </si>
  <si>
    <t>Sum of Discount Amount</t>
  </si>
  <si>
    <t>Payment Mode</t>
  </si>
  <si>
    <t>Stores</t>
  </si>
  <si>
    <t>Sales by city and category</t>
  </si>
  <si>
    <t>Payment Method Analysis</t>
  </si>
  <si>
    <t>City x Sales Analysis</t>
  </si>
  <si>
    <t>Category Wise quantity and Sales</t>
  </si>
  <si>
    <t>Discount Analysis</t>
  </si>
  <si>
    <t xml:space="preserve">Store Performance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</si>
</sst>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quot;%&quot;"/>
  </numFmts>
  <fonts count="4" x14ac:knownFonts="1">
    <font>
      <sz val="11"/>
      <color theme="1"/>
      <name val="Calibri"/>
      <family val="2"/>
      <scheme val="minor"/>
    </font>
    <font>
      <b/>
      <sz val="11"/>
      <name val="Calibri"/>
    </font>
    <font>
      <b/>
      <sz val="14"/>
      <color theme="1"/>
      <name val="Calibri"/>
      <family val="2"/>
      <scheme val="minor"/>
    </font>
    <font>
      <b/>
      <sz val="12"/>
      <color theme="1"/>
      <name val="Calibri"/>
      <family val="2"/>
      <scheme val="minor"/>
    </font>
  </fonts>
  <fills count="6">
    <fill>
      <patternFill patternType="none"/>
    </fill>
    <fill>
      <patternFill patternType="gray125"/>
    </fill>
    <fill>
      <patternFill patternType="solid">
        <fgColor rgb="FFD9EAD3"/>
      </patternFill>
    </fill>
    <fill>
      <patternFill patternType="solid">
        <fgColor theme="8" tint="0.39997558519241921"/>
        <bgColor indexed="64"/>
      </patternFill>
    </fill>
    <fill>
      <patternFill patternType="solid">
        <fgColor theme="3" tint="0.59999389629810485"/>
        <bgColor indexed="64"/>
      </patternFill>
    </fill>
    <fill>
      <patternFill patternType="solid">
        <fgColor rgb="FF8DE5B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center"/>
    </xf>
    <xf numFmtId="164" fontId="0" fillId="0" borderId="0" xfId="0" applyNumberFormat="1"/>
    <xf numFmtId="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vertical="center"/>
    </xf>
    <xf numFmtId="0" fontId="2" fillId="3" borderId="0" xfId="0" applyFont="1" applyFill="1" applyAlignment="1">
      <alignment horizontal="center" vertical="center"/>
    </xf>
    <xf numFmtId="0" fontId="0" fillId="3" borderId="0" xfId="0" applyFill="1" applyAlignment="1">
      <alignment horizontal="center" vertical="center"/>
    </xf>
    <xf numFmtId="0" fontId="3" fillId="3" borderId="0" xfId="0" applyNumberFormat="1" applyFont="1" applyFill="1" applyAlignment="1">
      <alignment horizontal="center" vertical="center"/>
    </xf>
    <xf numFmtId="0" fontId="2" fillId="3" borderId="0" xfId="0" applyNumberFormat="1" applyFont="1" applyFill="1" applyAlignment="1">
      <alignment horizontal="center" vertical="center"/>
    </xf>
    <xf numFmtId="0" fontId="2" fillId="3" borderId="0" xfId="0" applyNumberFormat="1" applyFont="1" applyFill="1" applyAlignment="1">
      <alignment horizontal="center"/>
    </xf>
    <xf numFmtId="0" fontId="0" fillId="3" borderId="0" xfId="0" applyNumberFormat="1" applyFill="1" applyAlignment="1">
      <alignment horizontal="center"/>
    </xf>
    <xf numFmtId="0" fontId="2" fillId="4" borderId="0" xfId="0" applyNumberFormat="1" applyFont="1" applyFill="1" applyAlignment="1">
      <alignment horizontal="center" vertical="center"/>
    </xf>
    <xf numFmtId="0" fontId="0" fillId="4" borderId="0" xfId="0" applyNumberFormat="1" applyFill="1"/>
    <xf numFmtId="0" fontId="0" fillId="4" borderId="0" xfId="0" applyFill="1"/>
    <xf numFmtId="0" fontId="0" fillId="4" borderId="0" xfId="0" applyFill="1" applyAlignment="1">
      <alignment horizontal="left"/>
    </xf>
    <xf numFmtId="0" fontId="2" fillId="5" borderId="0" xfId="0" applyFont="1" applyFill="1" applyAlignment="1">
      <alignment vertical="center"/>
    </xf>
    <xf numFmtId="0" fontId="0" fillId="5" borderId="0" xfId="0" applyFill="1"/>
    <xf numFmtId="0" fontId="0" fillId="4" borderId="0" xfId="0" applyFont="1" applyFill="1"/>
  </cellXfs>
  <cellStyles count="1">
    <cellStyle name="Normal" xfId="0" builtinId="0"/>
  </cellStyles>
  <dxfs count="44">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rgb="FF8DE5B3"/>
        </patternFill>
      </fill>
    </dxf>
    <dxf>
      <fill>
        <patternFill>
          <bgColor rgb="FF8DE5B3"/>
        </patternFill>
      </fill>
    </dxf>
    <dxf>
      <fill>
        <patternFill>
          <bgColor rgb="FF8DE5B3"/>
        </patternFill>
      </fill>
    </dxf>
    <dxf>
      <fill>
        <patternFill>
          <bgColor rgb="FF8DE5B3"/>
        </patternFill>
      </fill>
    </dxf>
    <dxf>
      <fill>
        <patternFill>
          <bgColor rgb="FF8DE5B3"/>
        </patternFill>
      </fill>
    </dxf>
    <dxf>
      <fill>
        <patternFill>
          <bgColor rgb="FF8DE5B3"/>
        </patternFill>
      </fill>
    </dxf>
    <dxf>
      <fill>
        <patternFill>
          <bgColor theme="3" tint="0.59999389629810485"/>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59999389629810485"/>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fill>
        <patternFill>
          <bgColor theme="3" tint="-0.249977111117893"/>
        </patternFill>
      </fill>
    </dxf>
    <dxf>
      <alignment horizontal="general"/>
    </dxf>
    <dxf>
      <alignment vertical="center"/>
    </dxf>
  </dxfs>
  <tableStyles count="0" defaultTableStyle="TableStyleMedium9" defaultPivotStyle="PivotStyleLight16"/>
  <colors>
    <mruColors>
      <color rgb="FF8DE5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[Theobroma_Raw_Data_200_Rows_15_Columns.xlsx]Pivot Table!PivotTable15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city and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Table'!$B$4:$B$5</c:f>
              <c:strCache>
                <c:ptCount val="1"/>
                <c:pt idx="0">
                  <c:v>Brownies</c:v>
                </c:pt>
              </c:strCache>
            </c:strRef>
          </c:tx>
          <c:spPr>
            <a:solidFill>
              <a:schemeClr val="accent1"/>
            </a:solidFill>
            <a:ln>
              <a:noFill/>
            </a:ln>
            <a:effectLst/>
          </c:spPr>
          <c:invertIfNegative val="0"/>
          <c:cat>
            <c:strRef>
              <c:f>'Pivot Table'!$A$6:$A$14</c:f>
              <c:strCache>
                <c:ptCount val="8"/>
                <c:pt idx="0">
                  <c:v>Mumbai</c:v>
                </c:pt>
                <c:pt idx="1">
                  <c:v>Bengaluru</c:v>
                </c:pt>
                <c:pt idx="2">
                  <c:v>Pune</c:v>
                </c:pt>
                <c:pt idx="3">
                  <c:v>Ahmedabad</c:v>
                </c:pt>
                <c:pt idx="4">
                  <c:v>Delhi</c:v>
                </c:pt>
                <c:pt idx="5">
                  <c:v>Gurugram</c:v>
                </c:pt>
                <c:pt idx="6">
                  <c:v>Surat</c:v>
                </c:pt>
                <c:pt idx="7">
                  <c:v>Vadodara</c:v>
                </c:pt>
              </c:strCache>
            </c:strRef>
          </c:cat>
          <c:val>
            <c:numRef>
              <c:f>'Pivot Table'!$B$6:$B$14</c:f>
              <c:numCache>
                <c:formatCode>General</c:formatCode>
                <c:ptCount val="8"/>
                <c:pt idx="1">
                  <c:v>3264</c:v>
                </c:pt>
                <c:pt idx="2">
                  <c:v>1116</c:v>
                </c:pt>
                <c:pt idx="3">
                  <c:v>5159</c:v>
                </c:pt>
                <c:pt idx="4">
                  <c:v>3243</c:v>
                </c:pt>
                <c:pt idx="5">
                  <c:v>1232</c:v>
                </c:pt>
                <c:pt idx="6">
                  <c:v>1192</c:v>
                </c:pt>
                <c:pt idx="7">
                  <c:v>2131</c:v>
                </c:pt>
              </c:numCache>
            </c:numRef>
          </c:val>
          <c:extLst>
            <c:ext xmlns:c16="http://schemas.microsoft.com/office/drawing/2014/chart" uri="{C3380CC4-5D6E-409C-BE32-E72D297353CC}">
              <c16:uniqueId val="{00000000-41A1-48D9-AEEC-B7CF4F1C00F5}"/>
            </c:ext>
          </c:extLst>
        </c:ser>
        <c:ser>
          <c:idx val="1"/>
          <c:order val="1"/>
          <c:tx>
            <c:strRef>
              <c:f>'Pivot Table'!$C$4:$C$5</c:f>
              <c:strCache>
                <c:ptCount val="1"/>
                <c:pt idx="0">
                  <c:v>Cakes</c:v>
                </c:pt>
              </c:strCache>
            </c:strRef>
          </c:tx>
          <c:spPr>
            <a:solidFill>
              <a:schemeClr val="accent2"/>
            </a:solidFill>
            <a:ln>
              <a:noFill/>
            </a:ln>
            <a:effectLst/>
          </c:spPr>
          <c:invertIfNegative val="0"/>
          <c:cat>
            <c:strRef>
              <c:f>'Pivot Table'!$A$6:$A$14</c:f>
              <c:strCache>
                <c:ptCount val="8"/>
                <c:pt idx="0">
                  <c:v>Mumbai</c:v>
                </c:pt>
                <c:pt idx="1">
                  <c:v>Bengaluru</c:v>
                </c:pt>
                <c:pt idx="2">
                  <c:v>Pune</c:v>
                </c:pt>
                <c:pt idx="3">
                  <c:v>Ahmedabad</c:v>
                </c:pt>
                <c:pt idx="4">
                  <c:v>Delhi</c:v>
                </c:pt>
                <c:pt idx="5">
                  <c:v>Gurugram</c:v>
                </c:pt>
                <c:pt idx="6">
                  <c:v>Surat</c:v>
                </c:pt>
                <c:pt idx="7">
                  <c:v>Vadodara</c:v>
                </c:pt>
              </c:strCache>
            </c:strRef>
          </c:cat>
          <c:val>
            <c:numRef>
              <c:f>'Pivot Table'!$C$6:$C$14</c:f>
              <c:numCache>
                <c:formatCode>General</c:formatCode>
                <c:ptCount val="8"/>
                <c:pt idx="0">
                  <c:v>12722.5</c:v>
                </c:pt>
                <c:pt idx="1">
                  <c:v>11490</c:v>
                </c:pt>
                <c:pt idx="2">
                  <c:v>23472.5</c:v>
                </c:pt>
                <c:pt idx="3">
                  <c:v>40887.5</c:v>
                </c:pt>
                <c:pt idx="4">
                  <c:v>7795</c:v>
                </c:pt>
                <c:pt idx="5">
                  <c:v>20055</c:v>
                </c:pt>
                <c:pt idx="6">
                  <c:v>27567.5</c:v>
                </c:pt>
                <c:pt idx="7">
                  <c:v>12595</c:v>
                </c:pt>
              </c:numCache>
            </c:numRef>
          </c:val>
          <c:extLst>
            <c:ext xmlns:c16="http://schemas.microsoft.com/office/drawing/2014/chart" uri="{C3380CC4-5D6E-409C-BE32-E72D297353CC}">
              <c16:uniqueId val="{00000001-41A1-48D9-AEEC-B7CF4F1C00F5}"/>
            </c:ext>
          </c:extLst>
        </c:ser>
        <c:ser>
          <c:idx val="2"/>
          <c:order val="2"/>
          <c:tx>
            <c:strRef>
              <c:f>'Pivot Table'!$D$4:$D$5</c:f>
              <c:strCache>
                <c:ptCount val="1"/>
                <c:pt idx="0">
                  <c:v>Cookies</c:v>
                </c:pt>
              </c:strCache>
            </c:strRef>
          </c:tx>
          <c:spPr>
            <a:solidFill>
              <a:schemeClr val="accent3"/>
            </a:solidFill>
            <a:ln>
              <a:noFill/>
            </a:ln>
            <a:effectLst/>
          </c:spPr>
          <c:invertIfNegative val="0"/>
          <c:cat>
            <c:strRef>
              <c:f>'Pivot Table'!$A$6:$A$14</c:f>
              <c:strCache>
                <c:ptCount val="8"/>
                <c:pt idx="0">
                  <c:v>Mumbai</c:v>
                </c:pt>
                <c:pt idx="1">
                  <c:v>Bengaluru</c:v>
                </c:pt>
                <c:pt idx="2">
                  <c:v>Pune</c:v>
                </c:pt>
                <c:pt idx="3">
                  <c:v>Ahmedabad</c:v>
                </c:pt>
                <c:pt idx="4">
                  <c:v>Delhi</c:v>
                </c:pt>
                <c:pt idx="5">
                  <c:v>Gurugram</c:v>
                </c:pt>
                <c:pt idx="6">
                  <c:v>Surat</c:v>
                </c:pt>
                <c:pt idx="7">
                  <c:v>Vadodara</c:v>
                </c:pt>
              </c:strCache>
            </c:strRef>
          </c:cat>
          <c:val>
            <c:numRef>
              <c:f>'Pivot Table'!$D$6:$D$14</c:f>
              <c:numCache>
                <c:formatCode>General</c:formatCode>
                <c:ptCount val="8"/>
                <c:pt idx="0">
                  <c:v>810</c:v>
                </c:pt>
                <c:pt idx="1">
                  <c:v>1863</c:v>
                </c:pt>
                <c:pt idx="2">
                  <c:v>1754</c:v>
                </c:pt>
                <c:pt idx="3">
                  <c:v>789.5</c:v>
                </c:pt>
                <c:pt idx="4">
                  <c:v>1262</c:v>
                </c:pt>
                <c:pt idx="6">
                  <c:v>2174.5</c:v>
                </c:pt>
                <c:pt idx="7">
                  <c:v>459</c:v>
                </c:pt>
              </c:numCache>
            </c:numRef>
          </c:val>
          <c:extLst>
            <c:ext xmlns:c16="http://schemas.microsoft.com/office/drawing/2014/chart" uri="{C3380CC4-5D6E-409C-BE32-E72D297353CC}">
              <c16:uniqueId val="{00000002-41A1-48D9-AEEC-B7CF4F1C00F5}"/>
            </c:ext>
          </c:extLst>
        </c:ser>
        <c:ser>
          <c:idx val="3"/>
          <c:order val="3"/>
          <c:tx>
            <c:strRef>
              <c:f>'Pivot Table'!$E$4:$E$5</c:f>
              <c:strCache>
                <c:ptCount val="1"/>
                <c:pt idx="0">
                  <c:v>Desserts</c:v>
                </c:pt>
              </c:strCache>
            </c:strRef>
          </c:tx>
          <c:spPr>
            <a:solidFill>
              <a:schemeClr val="accent4"/>
            </a:solidFill>
            <a:ln>
              <a:noFill/>
            </a:ln>
            <a:effectLst/>
          </c:spPr>
          <c:invertIfNegative val="0"/>
          <c:cat>
            <c:strRef>
              <c:f>'Pivot Table'!$A$6:$A$14</c:f>
              <c:strCache>
                <c:ptCount val="8"/>
                <c:pt idx="0">
                  <c:v>Mumbai</c:v>
                </c:pt>
                <c:pt idx="1">
                  <c:v>Bengaluru</c:v>
                </c:pt>
                <c:pt idx="2">
                  <c:v>Pune</c:v>
                </c:pt>
                <c:pt idx="3">
                  <c:v>Ahmedabad</c:v>
                </c:pt>
                <c:pt idx="4">
                  <c:v>Delhi</c:v>
                </c:pt>
                <c:pt idx="5">
                  <c:v>Gurugram</c:v>
                </c:pt>
                <c:pt idx="6">
                  <c:v>Surat</c:v>
                </c:pt>
                <c:pt idx="7">
                  <c:v>Vadodara</c:v>
                </c:pt>
              </c:strCache>
            </c:strRef>
          </c:cat>
          <c:val>
            <c:numRef>
              <c:f>'Pivot Table'!$E$6:$E$14</c:f>
              <c:numCache>
                <c:formatCode>General</c:formatCode>
                <c:ptCount val="8"/>
                <c:pt idx="0">
                  <c:v>4427</c:v>
                </c:pt>
                <c:pt idx="1">
                  <c:v>3411</c:v>
                </c:pt>
                <c:pt idx="2">
                  <c:v>5297</c:v>
                </c:pt>
                <c:pt idx="3">
                  <c:v>5765.5</c:v>
                </c:pt>
                <c:pt idx="4">
                  <c:v>10214</c:v>
                </c:pt>
                <c:pt idx="5">
                  <c:v>6480</c:v>
                </c:pt>
                <c:pt idx="6">
                  <c:v>8294</c:v>
                </c:pt>
                <c:pt idx="7">
                  <c:v>8982</c:v>
                </c:pt>
              </c:numCache>
            </c:numRef>
          </c:val>
          <c:extLst>
            <c:ext xmlns:c16="http://schemas.microsoft.com/office/drawing/2014/chart" uri="{C3380CC4-5D6E-409C-BE32-E72D297353CC}">
              <c16:uniqueId val="{00000003-41A1-48D9-AEEC-B7CF4F1C00F5}"/>
            </c:ext>
          </c:extLst>
        </c:ser>
        <c:ser>
          <c:idx val="4"/>
          <c:order val="4"/>
          <c:tx>
            <c:strRef>
              <c:f>'Pivot Table'!$F$4:$F$5</c:f>
              <c:strCache>
                <c:ptCount val="1"/>
                <c:pt idx="0">
                  <c:v>Pastries</c:v>
                </c:pt>
              </c:strCache>
            </c:strRef>
          </c:tx>
          <c:spPr>
            <a:solidFill>
              <a:schemeClr val="accent5"/>
            </a:solidFill>
            <a:ln>
              <a:noFill/>
            </a:ln>
            <a:effectLst/>
          </c:spPr>
          <c:invertIfNegative val="0"/>
          <c:cat>
            <c:strRef>
              <c:f>'Pivot Table'!$A$6:$A$14</c:f>
              <c:strCache>
                <c:ptCount val="8"/>
                <c:pt idx="0">
                  <c:v>Mumbai</c:v>
                </c:pt>
                <c:pt idx="1">
                  <c:v>Bengaluru</c:v>
                </c:pt>
                <c:pt idx="2">
                  <c:v>Pune</c:v>
                </c:pt>
                <c:pt idx="3">
                  <c:v>Ahmedabad</c:v>
                </c:pt>
                <c:pt idx="4">
                  <c:v>Delhi</c:v>
                </c:pt>
                <c:pt idx="5">
                  <c:v>Gurugram</c:v>
                </c:pt>
                <c:pt idx="6">
                  <c:v>Surat</c:v>
                </c:pt>
                <c:pt idx="7">
                  <c:v>Vadodara</c:v>
                </c:pt>
              </c:strCache>
            </c:strRef>
          </c:cat>
          <c:val>
            <c:numRef>
              <c:f>'Pivot Table'!$F$6:$F$14</c:f>
              <c:numCache>
                <c:formatCode>General</c:formatCode>
                <c:ptCount val="8"/>
                <c:pt idx="0">
                  <c:v>2639</c:v>
                </c:pt>
                <c:pt idx="1">
                  <c:v>2622</c:v>
                </c:pt>
                <c:pt idx="2">
                  <c:v>4277</c:v>
                </c:pt>
                <c:pt idx="3">
                  <c:v>2218</c:v>
                </c:pt>
                <c:pt idx="4">
                  <c:v>3092</c:v>
                </c:pt>
                <c:pt idx="5">
                  <c:v>2517</c:v>
                </c:pt>
                <c:pt idx="6">
                  <c:v>2864</c:v>
                </c:pt>
                <c:pt idx="7">
                  <c:v>6290</c:v>
                </c:pt>
              </c:numCache>
            </c:numRef>
          </c:val>
          <c:extLst>
            <c:ext xmlns:c16="http://schemas.microsoft.com/office/drawing/2014/chart" uri="{C3380CC4-5D6E-409C-BE32-E72D297353CC}">
              <c16:uniqueId val="{00000004-41A1-48D9-AEEC-B7CF4F1C00F5}"/>
            </c:ext>
          </c:extLst>
        </c:ser>
        <c:ser>
          <c:idx val="5"/>
          <c:order val="5"/>
          <c:tx>
            <c:strRef>
              <c:f>'Pivot Table'!$G$4:$G$5</c:f>
              <c:strCache>
                <c:ptCount val="1"/>
                <c:pt idx="0">
                  <c:v>Tea Cakes</c:v>
                </c:pt>
              </c:strCache>
            </c:strRef>
          </c:tx>
          <c:spPr>
            <a:solidFill>
              <a:schemeClr val="accent6"/>
            </a:solidFill>
            <a:ln>
              <a:noFill/>
            </a:ln>
            <a:effectLst/>
          </c:spPr>
          <c:invertIfNegative val="0"/>
          <c:cat>
            <c:strRef>
              <c:f>'Pivot Table'!$A$6:$A$14</c:f>
              <c:strCache>
                <c:ptCount val="8"/>
                <c:pt idx="0">
                  <c:v>Mumbai</c:v>
                </c:pt>
                <c:pt idx="1">
                  <c:v>Bengaluru</c:v>
                </c:pt>
                <c:pt idx="2">
                  <c:v>Pune</c:v>
                </c:pt>
                <c:pt idx="3">
                  <c:v>Ahmedabad</c:v>
                </c:pt>
                <c:pt idx="4">
                  <c:v>Delhi</c:v>
                </c:pt>
                <c:pt idx="5">
                  <c:v>Gurugram</c:v>
                </c:pt>
                <c:pt idx="6">
                  <c:v>Surat</c:v>
                </c:pt>
                <c:pt idx="7">
                  <c:v>Vadodara</c:v>
                </c:pt>
              </c:strCache>
            </c:strRef>
          </c:cat>
          <c:val>
            <c:numRef>
              <c:f>'Pivot Table'!$G$6:$G$14</c:f>
              <c:numCache>
                <c:formatCode>General</c:formatCode>
                <c:ptCount val="8"/>
                <c:pt idx="0">
                  <c:v>1080</c:v>
                </c:pt>
                <c:pt idx="1">
                  <c:v>1710</c:v>
                </c:pt>
                <c:pt idx="2">
                  <c:v>4972.5</c:v>
                </c:pt>
                <c:pt idx="3">
                  <c:v>5895</c:v>
                </c:pt>
                <c:pt idx="4">
                  <c:v>3352.5</c:v>
                </c:pt>
                <c:pt idx="6">
                  <c:v>2115</c:v>
                </c:pt>
                <c:pt idx="7">
                  <c:v>2520</c:v>
                </c:pt>
              </c:numCache>
            </c:numRef>
          </c:val>
          <c:extLst>
            <c:ext xmlns:c16="http://schemas.microsoft.com/office/drawing/2014/chart" uri="{C3380CC4-5D6E-409C-BE32-E72D297353CC}">
              <c16:uniqueId val="{00000005-41A1-48D9-AEEC-B7CF4F1C00F5}"/>
            </c:ext>
          </c:extLst>
        </c:ser>
        <c:dLbls>
          <c:showLegendKey val="0"/>
          <c:showVal val="0"/>
          <c:showCatName val="0"/>
          <c:showSerName val="0"/>
          <c:showPercent val="0"/>
          <c:showBubbleSize val="0"/>
        </c:dLbls>
        <c:gapWidth val="219"/>
        <c:overlap val="-27"/>
        <c:axId val="1382465792"/>
        <c:axId val="1382464544"/>
      </c:barChart>
      <c:catAx>
        <c:axId val="138246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464544"/>
        <c:crosses val="autoZero"/>
        <c:auto val="1"/>
        <c:lblAlgn val="ctr"/>
        <c:lblOffset val="100"/>
        <c:noMultiLvlLbl val="0"/>
      </c:catAx>
      <c:valAx>
        <c:axId val="1382464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465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1">
          <a:lumMod val="15000"/>
          <a:lumOff val="85000"/>
        </a:schemeClr>
      </a:solidFill>
      <a:round/>
    </a:ln>
    <a:effectLst>
      <a:outerShdw blurRad="50800" dist="50800" dir="5400000" algn="ctr" rotWithShape="0">
        <a:schemeClr val="tx2"/>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[Theobroma_Raw_Data_200_Rows_15_Columns.xlsx]Pivot Table!PivotTable12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 x Sales Channel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698"/>
          <c:y val="0.16708333333333336"/>
          <c:w val="0.52184361329833773"/>
          <c:h val="0.59036818314377371"/>
        </c:manualLayout>
      </c:layout>
      <c:barChart>
        <c:barDir val="col"/>
        <c:grouping val="clustered"/>
        <c:varyColors val="0"/>
        <c:ser>
          <c:idx val="0"/>
          <c:order val="0"/>
          <c:tx>
            <c:strRef>
              <c:f>'Pivot Table'!$G$47:$G$48</c:f>
              <c:strCache>
                <c:ptCount val="1"/>
                <c:pt idx="0">
                  <c:v>Delivery</c:v>
                </c:pt>
              </c:strCache>
            </c:strRef>
          </c:tx>
          <c:spPr>
            <a:solidFill>
              <a:schemeClr val="accent1"/>
            </a:solidFill>
            <a:ln>
              <a:noFill/>
            </a:ln>
            <a:effectLst/>
          </c:spPr>
          <c:invertIfNegative val="0"/>
          <c:cat>
            <c:strRef>
              <c:f>'Pivot Table'!$F$49:$F$57</c:f>
              <c:strCache>
                <c:ptCount val="8"/>
                <c:pt idx="0">
                  <c:v>Mumbai</c:v>
                </c:pt>
                <c:pt idx="1">
                  <c:v>Bengaluru</c:v>
                </c:pt>
                <c:pt idx="2">
                  <c:v>Pune</c:v>
                </c:pt>
                <c:pt idx="3">
                  <c:v>Ahmedabad</c:v>
                </c:pt>
                <c:pt idx="4">
                  <c:v>Delhi</c:v>
                </c:pt>
                <c:pt idx="5">
                  <c:v>Gurugram</c:v>
                </c:pt>
                <c:pt idx="6">
                  <c:v>Surat</c:v>
                </c:pt>
                <c:pt idx="7">
                  <c:v>Vadodara</c:v>
                </c:pt>
              </c:strCache>
            </c:strRef>
          </c:cat>
          <c:val>
            <c:numRef>
              <c:f>'Pivot Table'!$G$49:$G$57</c:f>
              <c:numCache>
                <c:formatCode>General</c:formatCode>
                <c:ptCount val="8"/>
                <c:pt idx="0">
                  <c:v>8</c:v>
                </c:pt>
                <c:pt idx="1">
                  <c:v>6</c:v>
                </c:pt>
                <c:pt idx="2">
                  <c:v>12</c:v>
                </c:pt>
                <c:pt idx="3">
                  <c:v>12</c:v>
                </c:pt>
                <c:pt idx="4">
                  <c:v>7</c:v>
                </c:pt>
                <c:pt idx="5">
                  <c:v>4</c:v>
                </c:pt>
                <c:pt idx="6">
                  <c:v>9</c:v>
                </c:pt>
                <c:pt idx="7">
                  <c:v>7</c:v>
                </c:pt>
              </c:numCache>
            </c:numRef>
          </c:val>
          <c:extLst>
            <c:ext xmlns:c16="http://schemas.microsoft.com/office/drawing/2014/chart" uri="{C3380CC4-5D6E-409C-BE32-E72D297353CC}">
              <c16:uniqueId val="{00000000-1E18-4953-9916-A483590E2965}"/>
            </c:ext>
          </c:extLst>
        </c:ser>
        <c:ser>
          <c:idx val="1"/>
          <c:order val="1"/>
          <c:tx>
            <c:strRef>
              <c:f>'Pivot Table'!$H$47:$H$48</c:f>
              <c:strCache>
                <c:ptCount val="1"/>
                <c:pt idx="0">
                  <c:v>Online</c:v>
                </c:pt>
              </c:strCache>
            </c:strRef>
          </c:tx>
          <c:spPr>
            <a:solidFill>
              <a:schemeClr val="accent2"/>
            </a:solidFill>
            <a:ln>
              <a:noFill/>
            </a:ln>
            <a:effectLst/>
          </c:spPr>
          <c:invertIfNegative val="0"/>
          <c:cat>
            <c:strRef>
              <c:f>'Pivot Table'!$F$49:$F$57</c:f>
              <c:strCache>
                <c:ptCount val="8"/>
                <c:pt idx="0">
                  <c:v>Mumbai</c:v>
                </c:pt>
                <c:pt idx="1">
                  <c:v>Bengaluru</c:v>
                </c:pt>
                <c:pt idx="2">
                  <c:v>Pune</c:v>
                </c:pt>
                <c:pt idx="3">
                  <c:v>Ahmedabad</c:v>
                </c:pt>
                <c:pt idx="4">
                  <c:v>Delhi</c:v>
                </c:pt>
                <c:pt idx="5">
                  <c:v>Gurugram</c:v>
                </c:pt>
                <c:pt idx="6">
                  <c:v>Surat</c:v>
                </c:pt>
                <c:pt idx="7">
                  <c:v>Vadodara</c:v>
                </c:pt>
              </c:strCache>
            </c:strRef>
          </c:cat>
          <c:val>
            <c:numRef>
              <c:f>'Pivot Table'!$H$49:$H$57</c:f>
              <c:numCache>
                <c:formatCode>General</c:formatCode>
                <c:ptCount val="8"/>
                <c:pt idx="0">
                  <c:v>6</c:v>
                </c:pt>
                <c:pt idx="1">
                  <c:v>9</c:v>
                </c:pt>
                <c:pt idx="2">
                  <c:v>10</c:v>
                </c:pt>
                <c:pt idx="3">
                  <c:v>9</c:v>
                </c:pt>
                <c:pt idx="4">
                  <c:v>9</c:v>
                </c:pt>
                <c:pt idx="5">
                  <c:v>8</c:v>
                </c:pt>
                <c:pt idx="6">
                  <c:v>12</c:v>
                </c:pt>
                <c:pt idx="7">
                  <c:v>7</c:v>
                </c:pt>
              </c:numCache>
            </c:numRef>
          </c:val>
          <c:extLst>
            <c:ext xmlns:c16="http://schemas.microsoft.com/office/drawing/2014/chart" uri="{C3380CC4-5D6E-409C-BE32-E72D297353CC}">
              <c16:uniqueId val="{00000001-1E18-4953-9916-A483590E2965}"/>
            </c:ext>
          </c:extLst>
        </c:ser>
        <c:ser>
          <c:idx val="2"/>
          <c:order val="2"/>
          <c:tx>
            <c:strRef>
              <c:f>'Pivot Table'!$I$47:$I$48</c:f>
              <c:strCache>
                <c:ptCount val="1"/>
                <c:pt idx="0">
                  <c:v>Store</c:v>
                </c:pt>
              </c:strCache>
            </c:strRef>
          </c:tx>
          <c:spPr>
            <a:solidFill>
              <a:schemeClr val="accent3"/>
            </a:solidFill>
            <a:ln>
              <a:noFill/>
            </a:ln>
            <a:effectLst/>
          </c:spPr>
          <c:invertIfNegative val="0"/>
          <c:cat>
            <c:strRef>
              <c:f>'Pivot Table'!$F$49:$F$57</c:f>
              <c:strCache>
                <c:ptCount val="8"/>
                <c:pt idx="0">
                  <c:v>Mumbai</c:v>
                </c:pt>
                <c:pt idx="1">
                  <c:v>Bengaluru</c:v>
                </c:pt>
                <c:pt idx="2">
                  <c:v>Pune</c:v>
                </c:pt>
                <c:pt idx="3">
                  <c:v>Ahmedabad</c:v>
                </c:pt>
                <c:pt idx="4">
                  <c:v>Delhi</c:v>
                </c:pt>
                <c:pt idx="5">
                  <c:v>Gurugram</c:v>
                </c:pt>
                <c:pt idx="6">
                  <c:v>Surat</c:v>
                </c:pt>
                <c:pt idx="7">
                  <c:v>Vadodara</c:v>
                </c:pt>
              </c:strCache>
            </c:strRef>
          </c:cat>
          <c:val>
            <c:numRef>
              <c:f>'Pivot Table'!$I$49:$I$57</c:f>
              <c:numCache>
                <c:formatCode>General</c:formatCode>
                <c:ptCount val="8"/>
                <c:pt idx="0">
                  <c:v>3</c:v>
                </c:pt>
                <c:pt idx="1">
                  <c:v>8</c:v>
                </c:pt>
                <c:pt idx="2">
                  <c:v>3</c:v>
                </c:pt>
                <c:pt idx="3">
                  <c:v>12</c:v>
                </c:pt>
                <c:pt idx="4">
                  <c:v>13</c:v>
                </c:pt>
                <c:pt idx="5">
                  <c:v>5</c:v>
                </c:pt>
                <c:pt idx="6">
                  <c:v>10</c:v>
                </c:pt>
                <c:pt idx="7">
                  <c:v>11</c:v>
                </c:pt>
              </c:numCache>
            </c:numRef>
          </c:val>
          <c:extLst>
            <c:ext xmlns:c16="http://schemas.microsoft.com/office/drawing/2014/chart" uri="{C3380CC4-5D6E-409C-BE32-E72D297353CC}">
              <c16:uniqueId val="{00000002-1E18-4953-9916-A483590E2965}"/>
            </c:ext>
          </c:extLst>
        </c:ser>
        <c:dLbls>
          <c:showLegendKey val="0"/>
          <c:showVal val="0"/>
          <c:showCatName val="0"/>
          <c:showSerName val="0"/>
          <c:showPercent val="0"/>
          <c:showBubbleSize val="0"/>
        </c:dLbls>
        <c:gapWidth val="219"/>
        <c:overlap val="-27"/>
        <c:axId val="1386213520"/>
        <c:axId val="1386213936"/>
      </c:barChart>
      <c:catAx>
        <c:axId val="1386213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213936"/>
        <c:crosses val="autoZero"/>
        <c:auto val="1"/>
        <c:lblAlgn val="ctr"/>
        <c:lblOffset val="100"/>
        <c:noMultiLvlLbl val="0"/>
      </c:catAx>
      <c:valAx>
        <c:axId val="1386213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213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1">
          <a:lumMod val="15000"/>
          <a:lumOff val="85000"/>
        </a:schemeClr>
      </a:solidFill>
      <a:round/>
    </a:ln>
    <a:effectLst>
      <a:outerShdw blurRad="50800" dist="50800" dir="5400000" algn="ctr" rotWithShape="0">
        <a:schemeClr val="tx2"/>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[Theobroma_Raw_Data_200_Rows_15_Columns.xlsx]Pivot Table!PivotTable16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Wise quantity and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Table'!$B$30</c:f>
              <c:strCache>
                <c:ptCount val="1"/>
                <c:pt idx="0">
                  <c:v>Sum of Net Sales</c:v>
                </c:pt>
              </c:strCache>
            </c:strRef>
          </c:tx>
          <c:spPr>
            <a:solidFill>
              <a:schemeClr val="accent6"/>
            </a:solidFill>
            <a:ln>
              <a:noFill/>
            </a:ln>
            <a:effectLst/>
            <a:sp3d/>
          </c:spPr>
          <c:invertIfNegative val="0"/>
          <c:cat>
            <c:strRef>
              <c:f>'Pivot Table'!$A$31:$A$37</c:f>
              <c:strCache>
                <c:ptCount val="6"/>
                <c:pt idx="0">
                  <c:v>Brownies</c:v>
                </c:pt>
                <c:pt idx="1">
                  <c:v>Cakes</c:v>
                </c:pt>
                <c:pt idx="2">
                  <c:v>Cookies</c:v>
                </c:pt>
                <c:pt idx="3">
                  <c:v>Desserts</c:v>
                </c:pt>
                <c:pt idx="4">
                  <c:v>Pastries</c:v>
                </c:pt>
                <c:pt idx="5">
                  <c:v>Tea Cakes</c:v>
                </c:pt>
              </c:strCache>
            </c:strRef>
          </c:cat>
          <c:val>
            <c:numRef>
              <c:f>'Pivot Table'!$B$31:$B$37</c:f>
              <c:numCache>
                <c:formatCode>General</c:formatCode>
                <c:ptCount val="6"/>
                <c:pt idx="0">
                  <c:v>17337</c:v>
                </c:pt>
                <c:pt idx="1">
                  <c:v>156585</c:v>
                </c:pt>
                <c:pt idx="2">
                  <c:v>9112</c:v>
                </c:pt>
                <c:pt idx="3">
                  <c:v>52870.5</c:v>
                </c:pt>
                <c:pt idx="4">
                  <c:v>26519</c:v>
                </c:pt>
                <c:pt idx="5">
                  <c:v>21645</c:v>
                </c:pt>
              </c:numCache>
            </c:numRef>
          </c:val>
          <c:extLst>
            <c:ext xmlns:c16="http://schemas.microsoft.com/office/drawing/2014/chart" uri="{C3380CC4-5D6E-409C-BE32-E72D297353CC}">
              <c16:uniqueId val="{00000000-5B15-45C6-9488-2D01EDA09B14}"/>
            </c:ext>
          </c:extLst>
        </c:ser>
        <c:ser>
          <c:idx val="1"/>
          <c:order val="1"/>
          <c:tx>
            <c:strRef>
              <c:f>'Pivot Table'!$C$30</c:f>
              <c:strCache>
                <c:ptCount val="1"/>
                <c:pt idx="0">
                  <c:v>Sum of Profit</c:v>
                </c:pt>
              </c:strCache>
            </c:strRef>
          </c:tx>
          <c:spPr>
            <a:solidFill>
              <a:schemeClr val="accent5"/>
            </a:solidFill>
            <a:ln>
              <a:noFill/>
            </a:ln>
            <a:effectLst/>
            <a:sp3d/>
          </c:spPr>
          <c:invertIfNegative val="0"/>
          <c:cat>
            <c:strRef>
              <c:f>'Pivot Table'!$A$31:$A$37</c:f>
              <c:strCache>
                <c:ptCount val="6"/>
                <c:pt idx="0">
                  <c:v>Brownies</c:v>
                </c:pt>
                <c:pt idx="1">
                  <c:v>Cakes</c:v>
                </c:pt>
                <c:pt idx="2">
                  <c:v>Cookies</c:v>
                </c:pt>
                <c:pt idx="3">
                  <c:v>Desserts</c:v>
                </c:pt>
                <c:pt idx="4">
                  <c:v>Pastries</c:v>
                </c:pt>
                <c:pt idx="5">
                  <c:v>Tea Cakes</c:v>
                </c:pt>
              </c:strCache>
            </c:strRef>
          </c:cat>
          <c:val>
            <c:numRef>
              <c:f>'Pivot Table'!$C$31:$C$37</c:f>
              <c:numCache>
                <c:formatCode>General</c:formatCode>
                <c:ptCount val="6"/>
                <c:pt idx="0">
                  <c:v>8010.89</c:v>
                </c:pt>
                <c:pt idx="1">
                  <c:v>77582.37000000001</c:v>
                </c:pt>
                <c:pt idx="2">
                  <c:v>4358.58</c:v>
                </c:pt>
                <c:pt idx="3">
                  <c:v>24932.49</c:v>
                </c:pt>
                <c:pt idx="4">
                  <c:v>13017.789999999997</c:v>
                </c:pt>
                <c:pt idx="5">
                  <c:v>10467.339999999998</c:v>
                </c:pt>
              </c:numCache>
            </c:numRef>
          </c:val>
          <c:extLst>
            <c:ext xmlns:c16="http://schemas.microsoft.com/office/drawing/2014/chart" uri="{C3380CC4-5D6E-409C-BE32-E72D297353CC}">
              <c16:uniqueId val="{00000001-5B15-45C6-9488-2D01EDA09B14}"/>
            </c:ext>
          </c:extLst>
        </c:ser>
        <c:ser>
          <c:idx val="2"/>
          <c:order val="2"/>
          <c:tx>
            <c:strRef>
              <c:f>'Pivot Table'!$D$30</c:f>
              <c:strCache>
                <c:ptCount val="1"/>
                <c:pt idx="0">
                  <c:v>Sum of Quantity</c:v>
                </c:pt>
              </c:strCache>
            </c:strRef>
          </c:tx>
          <c:spPr>
            <a:solidFill>
              <a:schemeClr val="accent4"/>
            </a:solidFill>
            <a:ln>
              <a:noFill/>
            </a:ln>
            <a:effectLst/>
            <a:sp3d/>
          </c:spPr>
          <c:invertIfNegative val="0"/>
          <c:cat>
            <c:strRef>
              <c:f>'Pivot Table'!$A$31:$A$37</c:f>
              <c:strCache>
                <c:ptCount val="6"/>
                <c:pt idx="0">
                  <c:v>Brownies</c:v>
                </c:pt>
                <c:pt idx="1">
                  <c:v>Cakes</c:v>
                </c:pt>
                <c:pt idx="2">
                  <c:v>Cookies</c:v>
                </c:pt>
                <c:pt idx="3">
                  <c:v>Desserts</c:v>
                </c:pt>
                <c:pt idx="4">
                  <c:v>Pastries</c:v>
                </c:pt>
                <c:pt idx="5">
                  <c:v>Tea Cakes</c:v>
                </c:pt>
              </c:strCache>
            </c:strRef>
          </c:cat>
          <c:val>
            <c:numRef>
              <c:f>'Pivot Table'!$D$31:$D$37</c:f>
              <c:numCache>
                <c:formatCode>General</c:formatCode>
                <c:ptCount val="6"/>
                <c:pt idx="0">
                  <c:v>95</c:v>
                </c:pt>
                <c:pt idx="1">
                  <c:v>203</c:v>
                </c:pt>
                <c:pt idx="2">
                  <c:v>101</c:v>
                </c:pt>
                <c:pt idx="3">
                  <c:v>232</c:v>
                </c:pt>
                <c:pt idx="4">
                  <c:v>174</c:v>
                </c:pt>
                <c:pt idx="5">
                  <c:v>54</c:v>
                </c:pt>
              </c:numCache>
            </c:numRef>
          </c:val>
          <c:extLst>
            <c:ext xmlns:c16="http://schemas.microsoft.com/office/drawing/2014/chart" uri="{C3380CC4-5D6E-409C-BE32-E72D297353CC}">
              <c16:uniqueId val="{00000004-5B15-45C6-9488-2D01EDA09B14}"/>
            </c:ext>
          </c:extLst>
        </c:ser>
        <c:dLbls>
          <c:showLegendKey val="0"/>
          <c:showVal val="0"/>
          <c:showCatName val="0"/>
          <c:showSerName val="0"/>
          <c:showPercent val="0"/>
          <c:showBubbleSize val="0"/>
        </c:dLbls>
        <c:gapWidth val="150"/>
        <c:shape val="box"/>
        <c:axId val="1380728544"/>
        <c:axId val="1380727712"/>
        <c:axId val="0"/>
      </c:bar3DChart>
      <c:catAx>
        <c:axId val="13807285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727712"/>
        <c:crosses val="autoZero"/>
        <c:auto val="1"/>
        <c:lblAlgn val="ctr"/>
        <c:lblOffset val="100"/>
        <c:noMultiLvlLbl val="0"/>
      </c:catAx>
      <c:valAx>
        <c:axId val="1380727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72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1">
          <a:lumMod val="15000"/>
          <a:lumOff val="85000"/>
        </a:schemeClr>
      </a:solidFill>
      <a:round/>
    </a:ln>
    <a:effectLst>
      <a:outerShdw blurRad="50800" dist="50800" dir="5400000" algn="ctr" rotWithShape="0">
        <a:schemeClr val="tx2"/>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[Theobroma_Raw_Data_200_Rows_15_Columns.xlsx]Pivot Table!PivotTable10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a:t>
            </a:r>
            <a:r>
              <a:rPr lang="en-US" baseline="0"/>
              <a:t> analysis by No. of Order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manualLayout>
          <c:layoutTarget val="inner"/>
          <c:xMode val="edge"/>
          <c:yMode val="edge"/>
          <c:x val="0.17160979877515312"/>
          <c:y val="0.14249781277340332"/>
          <c:w val="0.42900262467191602"/>
          <c:h val="0.71500437445319331"/>
        </c:manualLayout>
      </c:layout>
      <c:doughnutChart>
        <c:varyColors val="1"/>
        <c:ser>
          <c:idx val="0"/>
          <c:order val="0"/>
          <c:tx>
            <c:strRef>
              <c:f>'Pivot Table'!$B$18:$B$19</c:f>
              <c:strCache>
                <c:ptCount val="1"/>
                <c:pt idx="0">
                  <c:v>Delivery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D7-4D1B-B4E3-8AB2D490B6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D7-4D1B-B4E3-8AB2D490B66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CD7-4D1B-B4E3-8AB2D490B66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CD7-4D1B-B4E3-8AB2D490B66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CD7-4D1B-B4E3-8AB2D490B66C}"/>
              </c:ext>
            </c:extLst>
          </c:dPt>
          <c:cat>
            <c:strRef>
              <c:f>'Pivot Table'!$A$20:$A$25</c:f>
              <c:strCache>
                <c:ptCount val="5"/>
                <c:pt idx="0">
                  <c:v>Cash</c:v>
                </c:pt>
                <c:pt idx="1">
                  <c:v>Credit Card</c:v>
                </c:pt>
                <c:pt idx="2">
                  <c:v>Debit Card</c:v>
                </c:pt>
                <c:pt idx="3">
                  <c:v>UPI</c:v>
                </c:pt>
                <c:pt idx="4">
                  <c:v>Wallet</c:v>
                </c:pt>
              </c:strCache>
            </c:strRef>
          </c:cat>
          <c:val>
            <c:numRef>
              <c:f>'Pivot Table'!$B$20:$B$25</c:f>
              <c:numCache>
                <c:formatCode>General</c:formatCode>
                <c:ptCount val="5"/>
                <c:pt idx="0">
                  <c:v>12</c:v>
                </c:pt>
                <c:pt idx="1">
                  <c:v>12</c:v>
                </c:pt>
                <c:pt idx="2">
                  <c:v>13</c:v>
                </c:pt>
                <c:pt idx="3">
                  <c:v>10</c:v>
                </c:pt>
                <c:pt idx="4">
                  <c:v>18</c:v>
                </c:pt>
              </c:numCache>
            </c:numRef>
          </c:val>
          <c:extLst>
            <c:ext xmlns:c16="http://schemas.microsoft.com/office/drawing/2014/chart" uri="{C3380CC4-5D6E-409C-BE32-E72D297353CC}">
              <c16:uniqueId val="{0000000A-ACD7-4D1B-B4E3-8AB2D490B66C}"/>
            </c:ext>
          </c:extLst>
        </c:ser>
        <c:ser>
          <c:idx val="1"/>
          <c:order val="1"/>
          <c:tx>
            <c:strRef>
              <c:f>'Pivot Table'!$C$18:$C$19</c:f>
              <c:strCache>
                <c:ptCount val="1"/>
                <c:pt idx="0">
                  <c:v>Online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ACD7-4D1B-B4E3-8AB2D490B6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ACD7-4D1B-B4E3-8AB2D490B66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ACD7-4D1B-B4E3-8AB2D490B66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ACD7-4D1B-B4E3-8AB2D490B66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ACD7-4D1B-B4E3-8AB2D490B66C}"/>
              </c:ext>
            </c:extLst>
          </c:dPt>
          <c:cat>
            <c:strRef>
              <c:f>'Pivot Table'!$A$20:$A$25</c:f>
              <c:strCache>
                <c:ptCount val="5"/>
                <c:pt idx="0">
                  <c:v>Cash</c:v>
                </c:pt>
                <c:pt idx="1">
                  <c:v>Credit Card</c:v>
                </c:pt>
                <c:pt idx="2">
                  <c:v>Debit Card</c:v>
                </c:pt>
                <c:pt idx="3">
                  <c:v>UPI</c:v>
                </c:pt>
                <c:pt idx="4">
                  <c:v>Wallet</c:v>
                </c:pt>
              </c:strCache>
            </c:strRef>
          </c:cat>
          <c:val>
            <c:numRef>
              <c:f>'Pivot Table'!$C$20:$C$25</c:f>
              <c:numCache>
                <c:formatCode>General</c:formatCode>
                <c:ptCount val="5"/>
                <c:pt idx="0">
                  <c:v>14</c:v>
                </c:pt>
                <c:pt idx="1">
                  <c:v>18</c:v>
                </c:pt>
                <c:pt idx="2">
                  <c:v>10</c:v>
                </c:pt>
                <c:pt idx="3">
                  <c:v>16</c:v>
                </c:pt>
                <c:pt idx="4">
                  <c:v>12</c:v>
                </c:pt>
              </c:numCache>
            </c:numRef>
          </c:val>
          <c:extLst>
            <c:ext xmlns:c16="http://schemas.microsoft.com/office/drawing/2014/chart" uri="{C3380CC4-5D6E-409C-BE32-E72D297353CC}">
              <c16:uniqueId val="{00000015-ACD7-4D1B-B4E3-8AB2D490B66C}"/>
            </c:ext>
          </c:extLst>
        </c:ser>
        <c:ser>
          <c:idx val="2"/>
          <c:order val="2"/>
          <c:tx>
            <c:strRef>
              <c:f>'Pivot Table'!$D$18:$D$19</c:f>
              <c:strCache>
                <c:ptCount val="1"/>
                <c:pt idx="0">
                  <c:v>Store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7-ACD7-4D1B-B4E3-8AB2D490B6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9-ACD7-4D1B-B4E3-8AB2D490B66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B-ACD7-4D1B-B4E3-8AB2D490B66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D-ACD7-4D1B-B4E3-8AB2D490B66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F-ACD7-4D1B-B4E3-8AB2D490B66C}"/>
              </c:ext>
            </c:extLst>
          </c:dPt>
          <c:cat>
            <c:strRef>
              <c:f>'Pivot Table'!$A$20:$A$25</c:f>
              <c:strCache>
                <c:ptCount val="5"/>
                <c:pt idx="0">
                  <c:v>Cash</c:v>
                </c:pt>
                <c:pt idx="1">
                  <c:v>Credit Card</c:v>
                </c:pt>
                <c:pt idx="2">
                  <c:v>Debit Card</c:v>
                </c:pt>
                <c:pt idx="3">
                  <c:v>UPI</c:v>
                </c:pt>
                <c:pt idx="4">
                  <c:v>Wallet</c:v>
                </c:pt>
              </c:strCache>
            </c:strRef>
          </c:cat>
          <c:val>
            <c:numRef>
              <c:f>'Pivot Table'!$D$20:$D$25</c:f>
              <c:numCache>
                <c:formatCode>General</c:formatCode>
                <c:ptCount val="5"/>
                <c:pt idx="0">
                  <c:v>18</c:v>
                </c:pt>
                <c:pt idx="1">
                  <c:v>12</c:v>
                </c:pt>
                <c:pt idx="2">
                  <c:v>10</c:v>
                </c:pt>
                <c:pt idx="3">
                  <c:v>12</c:v>
                </c:pt>
                <c:pt idx="4">
                  <c:v>13</c:v>
                </c:pt>
              </c:numCache>
            </c:numRef>
          </c:val>
          <c:extLst>
            <c:ext xmlns:c16="http://schemas.microsoft.com/office/drawing/2014/chart" uri="{C3380CC4-5D6E-409C-BE32-E72D297353CC}">
              <c16:uniqueId val="{00000020-ACD7-4D1B-B4E3-8AB2D490B66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1">
          <a:lumMod val="15000"/>
          <a:lumOff val="85000"/>
        </a:schemeClr>
      </a:solidFill>
      <a:round/>
    </a:ln>
    <a:effectLst>
      <a:outerShdw blurRad="50800" dist="50800" dir="5400000" algn="ctr" rotWithShape="0">
        <a:schemeClr val="tx2"/>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[Theobroma_Raw_Data_200_Rows_15_Columns.xlsx]Pivot Table!PivotTable5</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800" b="0" i="0" baseline="0">
                <a:effectLst/>
              </a:rPr>
              <a:t>Payment analysis by Net Sales</a:t>
            </a:r>
            <a:endParaRPr lang="en-US">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doughnutChart>
        <c:varyColors val="1"/>
        <c:ser>
          <c:idx val="0"/>
          <c:order val="0"/>
          <c:tx>
            <c:strRef>
              <c:f>'Pivot Table'!$H$18:$H$19</c:f>
              <c:strCache>
                <c:ptCount val="1"/>
                <c:pt idx="0">
                  <c:v>Delivery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86B-4556-9489-9764F8238E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86B-4556-9489-9764F8238E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86B-4556-9489-9764F8238E0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86B-4556-9489-9764F8238E0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86B-4556-9489-9764F8238E0A}"/>
              </c:ext>
            </c:extLst>
          </c:dPt>
          <c:cat>
            <c:strRef>
              <c:f>'Pivot Table'!$G$20:$G$25</c:f>
              <c:strCache>
                <c:ptCount val="5"/>
                <c:pt idx="0">
                  <c:v>Cash</c:v>
                </c:pt>
                <c:pt idx="1">
                  <c:v>Credit Card</c:v>
                </c:pt>
                <c:pt idx="2">
                  <c:v>Debit Card</c:v>
                </c:pt>
                <c:pt idx="3">
                  <c:v>UPI</c:v>
                </c:pt>
                <c:pt idx="4">
                  <c:v>Wallet</c:v>
                </c:pt>
              </c:strCache>
            </c:strRef>
          </c:cat>
          <c:val>
            <c:numRef>
              <c:f>'Pivot Table'!$H$20:$H$25</c:f>
              <c:numCache>
                <c:formatCode>General</c:formatCode>
                <c:ptCount val="5"/>
                <c:pt idx="0">
                  <c:v>20658</c:v>
                </c:pt>
                <c:pt idx="1">
                  <c:v>15848.5</c:v>
                </c:pt>
                <c:pt idx="2">
                  <c:v>14351.5</c:v>
                </c:pt>
                <c:pt idx="3">
                  <c:v>16498</c:v>
                </c:pt>
                <c:pt idx="4">
                  <c:v>19805.5</c:v>
                </c:pt>
              </c:numCache>
            </c:numRef>
          </c:val>
          <c:extLst>
            <c:ext xmlns:c16="http://schemas.microsoft.com/office/drawing/2014/chart" uri="{C3380CC4-5D6E-409C-BE32-E72D297353CC}">
              <c16:uniqueId val="{0000000A-D86B-4556-9489-9764F8238E0A}"/>
            </c:ext>
          </c:extLst>
        </c:ser>
        <c:ser>
          <c:idx val="1"/>
          <c:order val="1"/>
          <c:tx>
            <c:strRef>
              <c:f>'Pivot Table'!$I$18:$I$19</c:f>
              <c:strCache>
                <c:ptCount val="1"/>
                <c:pt idx="0">
                  <c:v>Online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C-D86B-4556-9489-9764F8238E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D86B-4556-9489-9764F8238E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0-D86B-4556-9489-9764F8238E0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2-D86B-4556-9489-9764F8238E0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4-D86B-4556-9489-9764F8238E0A}"/>
              </c:ext>
            </c:extLst>
          </c:dPt>
          <c:cat>
            <c:strRef>
              <c:f>'Pivot Table'!$G$20:$G$25</c:f>
              <c:strCache>
                <c:ptCount val="5"/>
                <c:pt idx="0">
                  <c:v>Cash</c:v>
                </c:pt>
                <c:pt idx="1">
                  <c:v>Credit Card</c:v>
                </c:pt>
                <c:pt idx="2">
                  <c:v>Debit Card</c:v>
                </c:pt>
                <c:pt idx="3">
                  <c:v>UPI</c:v>
                </c:pt>
                <c:pt idx="4">
                  <c:v>Wallet</c:v>
                </c:pt>
              </c:strCache>
            </c:strRef>
          </c:cat>
          <c:val>
            <c:numRef>
              <c:f>'Pivot Table'!$I$20:$I$25</c:f>
              <c:numCache>
                <c:formatCode>General</c:formatCode>
                <c:ptCount val="5"/>
                <c:pt idx="0">
                  <c:v>13679</c:v>
                </c:pt>
                <c:pt idx="1">
                  <c:v>29270</c:v>
                </c:pt>
                <c:pt idx="2">
                  <c:v>18569.5</c:v>
                </c:pt>
                <c:pt idx="3">
                  <c:v>20105.5</c:v>
                </c:pt>
                <c:pt idx="4">
                  <c:v>26499</c:v>
                </c:pt>
              </c:numCache>
            </c:numRef>
          </c:val>
          <c:extLst>
            <c:ext xmlns:c16="http://schemas.microsoft.com/office/drawing/2014/chart" uri="{C3380CC4-5D6E-409C-BE32-E72D297353CC}">
              <c16:uniqueId val="{00000015-D86B-4556-9489-9764F8238E0A}"/>
            </c:ext>
          </c:extLst>
        </c:ser>
        <c:ser>
          <c:idx val="2"/>
          <c:order val="2"/>
          <c:tx>
            <c:strRef>
              <c:f>'Pivot Table'!$J$18:$J$19</c:f>
              <c:strCache>
                <c:ptCount val="1"/>
                <c:pt idx="0">
                  <c:v>Store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7-D86B-4556-9489-9764F8238E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9-D86B-4556-9489-9764F8238E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B-D86B-4556-9489-9764F8238E0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D-D86B-4556-9489-9764F8238E0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F-D86B-4556-9489-9764F8238E0A}"/>
              </c:ext>
            </c:extLst>
          </c:dPt>
          <c:cat>
            <c:strRef>
              <c:f>'Pivot Table'!$G$20:$G$25</c:f>
              <c:strCache>
                <c:ptCount val="5"/>
                <c:pt idx="0">
                  <c:v>Cash</c:v>
                </c:pt>
                <c:pt idx="1">
                  <c:v>Credit Card</c:v>
                </c:pt>
                <c:pt idx="2">
                  <c:v>Debit Card</c:v>
                </c:pt>
                <c:pt idx="3">
                  <c:v>UPI</c:v>
                </c:pt>
                <c:pt idx="4">
                  <c:v>Wallet</c:v>
                </c:pt>
              </c:strCache>
            </c:strRef>
          </c:cat>
          <c:val>
            <c:numRef>
              <c:f>'Pivot Table'!$J$20:$J$25</c:f>
              <c:numCache>
                <c:formatCode>General</c:formatCode>
                <c:ptCount val="5"/>
                <c:pt idx="0">
                  <c:v>27470.5</c:v>
                </c:pt>
                <c:pt idx="1">
                  <c:v>16393.5</c:v>
                </c:pt>
                <c:pt idx="2">
                  <c:v>18926.5</c:v>
                </c:pt>
                <c:pt idx="3">
                  <c:v>13951</c:v>
                </c:pt>
                <c:pt idx="4">
                  <c:v>12042.5</c:v>
                </c:pt>
              </c:numCache>
            </c:numRef>
          </c:val>
          <c:extLst>
            <c:ext xmlns:c16="http://schemas.microsoft.com/office/drawing/2014/chart" uri="{C3380CC4-5D6E-409C-BE32-E72D297353CC}">
              <c16:uniqueId val="{00000020-D86B-4556-9489-9764F8238E0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1">
          <a:lumMod val="15000"/>
          <a:lumOff val="85000"/>
        </a:schemeClr>
      </a:solidFill>
      <a:round/>
    </a:ln>
    <a:effectLst>
      <a:outerShdw blurRad="50800" dist="50800" dir="5400000" algn="ctr" rotWithShape="0">
        <a:schemeClr val="tx2"/>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[Theobroma_Raw_Data_200_Rows_15_Columns.xlsx]Pivot Table!PivotTable9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s>
    <c:plotArea>
      <c:layout/>
      <c:doughnutChart>
        <c:varyColors val="1"/>
        <c:ser>
          <c:idx val="0"/>
          <c:order val="0"/>
          <c:tx>
            <c:strRef>
              <c:f>'Pivot Table'!$B$47</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058-4DE1-8FDB-297C7ED5E0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58-4DE1-8FDB-297C7ED5E0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058-4DE1-8FDB-297C7ED5E08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058-4DE1-8FDB-297C7ED5E08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058-4DE1-8FDB-297C7ED5E08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058-4DE1-8FDB-297C7ED5E08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058-4DE1-8FDB-297C7ED5E08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058-4DE1-8FDB-297C7ED5E08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058-4DE1-8FDB-297C7ED5E08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058-4DE1-8FDB-297C7ED5E080}"/>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0058-4DE1-8FDB-297C7ED5E080}"/>
              </c:ext>
            </c:extLst>
          </c:dPt>
          <c:cat>
            <c:strRef>
              <c:f>'Pivot Table'!$A$48:$A$59</c:f>
              <c:strCache>
                <c:ptCount val="11"/>
                <c:pt idx="0">
                  <c:v>Theobroma - Adajan</c:v>
                </c:pt>
                <c:pt idx="1">
                  <c:v>Theobroma - Alkapuri</c:v>
                </c:pt>
                <c:pt idx="2">
                  <c:v>Theobroma - Andheri</c:v>
                </c:pt>
                <c:pt idx="3">
                  <c:v>Theobroma - CG Road</c:v>
                </c:pt>
                <c:pt idx="4">
                  <c:v>Theobroma - Cyber Hub</c:v>
                </c:pt>
                <c:pt idx="5">
                  <c:v>Theobroma - Indiranagar</c:v>
                </c:pt>
                <c:pt idx="6">
                  <c:v>Theobroma - Koregaon Park</c:v>
                </c:pt>
                <c:pt idx="7">
                  <c:v>Theobroma - Powai</c:v>
                </c:pt>
                <c:pt idx="8">
                  <c:v>Theobroma - Prahlad Nagar</c:v>
                </c:pt>
                <c:pt idx="9">
                  <c:v>Theobroma - Saket</c:v>
                </c:pt>
                <c:pt idx="10">
                  <c:v>Theobroma - Vesu</c:v>
                </c:pt>
              </c:strCache>
            </c:strRef>
          </c:cat>
          <c:val>
            <c:numRef>
              <c:f>'Pivot Table'!$B$48:$B$59</c:f>
              <c:numCache>
                <c:formatCode>General</c:formatCode>
                <c:ptCount val="11"/>
                <c:pt idx="0">
                  <c:v>9872.7999999999975</c:v>
                </c:pt>
                <c:pt idx="1">
                  <c:v>16060.049999999997</c:v>
                </c:pt>
                <c:pt idx="2">
                  <c:v>4336.1299999999992</c:v>
                </c:pt>
                <c:pt idx="3">
                  <c:v>11780.82</c:v>
                </c:pt>
                <c:pt idx="4">
                  <c:v>14132.189999999999</c:v>
                </c:pt>
                <c:pt idx="5">
                  <c:v>11723.960000000003</c:v>
                </c:pt>
                <c:pt idx="6">
                  <c:v>20198.980000000003</c:v>
                </c:pt>
                <c:pt idx="7">
                  <c:v>6526.7400000000007</c:v>
                </c:pt>
                <c:pt idx="8">
                  <c:v>18958.27</c:v>
                </c:pt>
                <c:pt idx="9">
                  <c:v>13877.079999999998</c:v>
                </c:pt>
                <c:pt idx="10">
                  <c:v>10902.44</c:v>
                </c:pt>
              </c:numCache>
            </c:numRef>
          </c:val>
          <c:extLst>
            <c:ext xmlns:c16="http://schemas.microsoft.com/office/drawing/2014/chart" uri="{C3380CC4-5D6E-409C-BE32-E72D297353CC}">
              <c16:uniqueId val="{00000016-0058-4DE1-8FDB-297C7ED5E080}"/>
            </c:ext>
          </c:extLst>
        </c:ser>
        <c:ser>
          <c:idx val="1"/>
          <c:order val="1"/>
          <c:tx>
            <c:strRef>
              <c:f>'Pivot Table'!$C$47</c:f>
              <c:strCache>
                <c:ptCount val="1"/>
                <c:pt idx="0">
                  <c:v>Sum of Net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8-0058-4DE1-8FDB-297C7ED5E0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A-0058-4DE1-8FDB-297C7ED5E0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C-0058-4DE1-8FDB-297C7ED5E08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E-0058-4DE1-8FDB-297C7ED5E08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0-0058-4DE1-8FDB-297C7ED5E08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2-0058-4DE1-8FDB-297C7ED5E08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4-0058-4DE1-8FDB-297C7ED5E080}"/>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6-0058-4DE1-8FDB-297C7ED5E080}"/>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8-0058-4DE1-8FDB-297C7ED5E080}"/>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A-0058-4DE1-8FDB-297C7ED5E080}"/>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2C-0058-4DE1-8FDB-297C7ED5E080}"/>
              </c:ext>
            </c:extLst>
          </c:dPt>
          <c:cat>
            <c:strRef>
              <c:f>'Pivot Table'!$A$48:$A$59</c:f>
              <c:strCache>
                <c:ptCount val="11"/>
                <c:pt idx="0">
                  <c:v>Theobroma - Adajan</c:v>
                </c:pt>
                <c:pt idx="1">
                  <c:v>Theobroma - Alkapuri</c:v>
                </c:pt>
                <c:pt idx="2">
                  <c:v>Theobroma - Andheri</c:v>
                </c:pt>
                <c:pt idx="3">
                  <c:v>Theobroma - CG Road</c:v>
                </c:pt>
                <c:pt idx="4">
                  <c:v>Theobroma - Cyber Hub</c:v>
                </c:pt>
                <c:pt idx="5">
                  <c:v>Theobroma - Indiranagar</c:v>
                </c:pt>
                <c:pt idx="6">
                  <c:v>Theobroma - Koregaon Park</c:v>
                </c:pt>
                <c:pt idx="7">
                  <c:v>Theobroma - Powai</c:v>
                </c:pt>
                <c:pt idx="8">
                  <c:v>Theobroma - Prahlad Nagar</c:v>
                </c:pt>
                <c:pt idx="9">
                  <c:v>Theobroma - Saket</c:v>
                </c:pt>
                <c:pt idx="10">
                  <c:v>Theobroma - Vesu</c:v>
                </c:pt>
              </c:strCache>
            </c:strRef>
          </c:cat>
          <c:val>
            <c:numRef>
              <c:f>'Pivot Table'!$C$48:$C$59</c:f>
              <c:numCache>
                <c:formatCode>General</c:formatCode>
                <c:ptCount val="11"/>
                <c:pt idx="0">
                  <c:v>21337.5</c:v>
                </c:pt>
                <c:pt idx="1">
                  <c:v>32977</c:v>
                </c:pt>
                <c:pt idx="2">
                  <c:v>8679</c:v>
                </c:pt>
                <c:pt idx="3">
                  <c:v>22663.5</c:v>
                </c:pt>
                <c:pt idx="4">
                  <c:v>30284</c:v>
                </c:pt>
                <c:pt idx="5">
                  <c:v>24360</c:v>
                </c:pt>
                <c:pt idx="6">
                  <c:v>40889</c:v>
                </c:pt>
                <c:pt idx="7">
                  <c:v>12999.5</c:v>
                </c:pt>
                <c:pt idx="8">
                  <c:v>38051</c:v>
                </c:pt>
                <c:pt idx="9">
                  <c:v>28958.5</c:v>
                </c:pt>
                <c:pt idx="10">
                  <c:v>22869.5</c:v>
                </c:pt>
              </c:numCache>
            </c:numRef>
          </c:val>
          <c:extLst>
            <c:ext xmlns:c16="http://schemas.microsoft.com/office/drawing/2014/chart" uri="{C3380CC4-5D6E-409C-BE32-E72D297353CC}">
              <c16:uniqueId val="{0000002D-0058-4DE1-8FDB-297C7ED5E08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60000"/>
        <a:lumOff val="40000"/>
      </a:schemeClr>
    </a:solidFill>
    <a:ln w="9525" cap="flat" cmpd="sng" algn="ctr">
      <a:solidFill>
        <a:schemeClr val="tx1">
          <a:lumMod val="15000"/>
          <a:lumOff val="85000"/>
        </a:schemeClr>
      </a:solidFill>
      <a:round/>
    </a:ln>
    <a:effectLst>
      <a:outerShdw blurRad="50800" dist="50800" dir="5400000" algn="ctr" rotWithShape="0">
        <a:schemeClr val="accent1"/>
      </a:outerShdw>
    </a:effectLst>
    <a:scene3d>
      <a:camera prst="orthographicFront"/>
      <a:lightRig rig="threePt" dir="t"/>
    </a:scene3d>
    <a:sp3d>
      <a:bevelT w="12700"/>
      <a:bevelB w="127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47625</xdr:colOff>
      <xdr:row>8</xdr:row>
      <xdr:rowOff>34925</xdr:rowOff>
    </xdr:from>
    <xdr:to>
      <xdr:col>10</xdr:col>
      <xdr:colOff>352425</xdr:colOff>
      <xdr:row>24</xdr:row>
      <xdr:rowOff>15875</xdr:rowOff>
    </xdr:to>
    <xdr:graphicFrame macro="">
      <xdr:nvGraphicFramePr>
        <xdr:cNvPr id="4" name="Chart 1">
          <a:extLst>
            <a:ext uri="{FF2B5EF4-FFF2-40B4-BE49-F238E27FC236}">
              <a16:creationId xmlns:a16="http://schemas.microsoft.com/office/drawing/2014/main" id="{6C1C55C4-68E7-46A8-8735-E9DA783730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9524</xdr:colOff>
      <xdr:row>8</xdr:row>
      <xdr:rowOff>9524</xdr:rowOff>
    </xdr:from>
    <xdr:to>
      <xdr:col>18</xdr:col>
      <xdr:colOff>361949</xdr:colOff>
      <xdr:row>24</xdr:row>
      <xdr:rowOff>50799</xdr:rowOff>
    </xdr:to>
    <xdr:graphicFrame macro="">
      <xdr:nvGraphicFramePr>
        <xdr:cNvPr id="6" name="Chart 2">
          <a:extLst>
            <a:ext uri="{FF2B5EF4-FFF2-40B4-BE49-F238E27FC236}">
              <a16:creationId xmlns:a16="http://schemas.microsoft.com/office/drawing/2014/main" id="{B543A45B-F7DF-4EF6-9BD5-C344E6439E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9</xdr:row>
      <xdr:rowOff>6350</xdr:rowOff>
    </xdr:from>
    <xdr:to>
      <xdr:col>3</xdr:col>
      <xdr:colOff>0</xdr:colOff>
      <xdr:row>22</xdr:row>
      <xdr:rowOff>136525</xdr:rowOff>
    </xdr:to>
    <mc:AlternateContent xmlns:mc="http://schemas.openxmlformats.org/markup-compatibility/2006" xmlns:a14="http://schemas.microsoft.com/office/drawing/2010/main">
      <mc:Choice Requires="a14">
        <xdr:graphicFrame macro="">
          <xdr:nvGraphicFramePr>
            <xdr:cNvPr id="7" name="City">
              <a:extLst>
                <a:ext uri="{FF2B5EF4-FFF2-40B4-BE49-F238E27FC236}">
                  <a16:creationId xmlns:a16="http://schemas.microsoft.com/office/drawing/2014/main" id="{33C99083-34DB-4F46-98D1-6B04BB317FA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0" y="1162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123825</xdr:colOff>
      <xdr:row>41</xdr:row>
      <xdr:rowOff>136525</xdr:rowOff>
    </xdr:from>
    <xdr:to>
      <xdr:col>14</xdr:col>
      <xdr:colOff>333375</xdr:colOff>
      <xdr:row>56</xdr:row>
      <xdr:rowOff>117475</xdr:rowOff>
    </xdr:to>
    <xdr:graphicFrame macro="">
      <xdr:nvGraphicFramePr>
        <xdr:cNvPr id="9" name="Chart 4">
          <a:extLst>
            <a:ext uri="{FF2B5EF4-FFF2-40B4-BE49-F238E27FC236}">
              <a16:creationId xmlns:a16="http://schemas.microsoft.com/office/drawing/2014/main" id="{0B4C44CA-9996-4786-B0A0-19E4C912C0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6350</xdr:colOff>
      <xdr:row>30</xdr:row>
      <xdr:rowOff>1</xdr:rowOff>
    </xdr:from>
    <xdr:to>
      <xdr:col>3</xdr:col>
      <xdr:colOff>6350</xdr:colOff>
      <xdr:row>40</xdr:row>
      <xdr:rowOff>158751</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034EB84A-F3E1-44FA-8620-EC63220A494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350" y="5022851"/>
              <a:ext cx="1828800" cy="2000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12700</xdr:colOff>
      <xdr:row>26</xdr:row>
      <xdr:rowOff>3175</xdr:rowOff>
    </xdr:from>
    <xdr:to>
      <xdr:col>18</xdr:col>
      <xdr:colOff>317500</xdr:colOff>
      <xdr:row>40</xdr:row>
      <xdr:rowOff>168275</xdr:rowOff>
    </xdr:to>
    <xdr:graphicFrame macro="">
      <xdr:nvGraphicFramePr>
        <xdr:cNvPr id="12" name="Chart 6">
          <a:extLst>
            <a:ext uri="{FF2B5EF4-FFF2-40B4-BE49-F238E27FC236}">
              <a16:creationId xmlns:a16="http://schemas.microsoft.com/office/drawing/2014/main" id="{7D0960E3-C1AF-4C39-809B-3BC2C171C7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225425</xdr:colOff>
      <xdr:row>26</xdr:row>
      <xdr:rowOff>15875</xdr:rowOff>
    </xdr:from>
    <xdr:to>
      <xdr:col>10</xdr:col>
      <xdr:colOff>466725</xdr:colOff>
      <xdr:row>40</xdr:row>
      <xdr:rowOff>180975</xdr:rowOff>
    </xdr:to>
    <xdr:graphicFrame macro="">
      <xdr:nvGraphicFramePr>
        <xdr:cNvPr id="13" name="Chart 7">
          <a:extLst>
            <a:ext uri="{FF2B5EF4-FFF2-40B4-BE49-F238E27FC236}">
              <a16:creationId xmlns:a16="http://schemas.microsoft.com/office/drawing/2014/main" id="{17F63695-2552-4A93-9549-893DAFA799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177800</xdr:colOff>
      <xdr:row>57</xdr:row>
      <xdr:rowOff>53975</xdr:rowOff>
    </xdr:from>
    <xdr:to>
      <xdr:col>10</xdr:col>
      <xdr:colOff>419100</xdr:colOff>
      <xdr:row>72</xdr:row>
      <xdr:rowOff>34925</xdr:rowOff>
    </xdr:to>
    <xdr:graphicFrame macro="">
      <xdr:nvGraphicFramePr>
        <xdr:cNvPr id="14" name="Chart 8">
          <a:extLst>
            <a:ext uri="{FF2B5EF4-FFF2-40B4-BE49-F238E27FC236}">
              <a16:creationId xmlns:a16="http://schemas.microsoft.com/office/drawing/2014/main" id="{E3CD3E28-05F8-470F-A56E-A78398C712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57150</xdr:colOff>
      <xdr:row>57</xdr:row>
      <xdr:rowOff>19050</xdr:rowOff>
    </xdr:from>
    <xdr:to>
      <xdr:col>3</xdr:col>
      <xdr:colOff>57150</xdr:colOff>
      <xdr:row>75</xdr:row>
      <xdr:rowOff>44450</xdr:rowOff>
    </xdr:to>
    <mc:AlternateContent xmlns:mc="http://schemas.openxmlformats.org/markup-compatibility/2006">
      <mc:Choice xmlns:a14="http://schemas.microsoft.com/office/drawing/2010/main" Requires="a14">
        <xdr:graphicFrame macro="">
          <xdr:nvGraphicFramePr>
            <xdr:cNvPr id="15" name="Store">
              <a:extLst>
                <a:ext uri="{FF2B5EF4-FFF2-40B4-BE49-F238E27FC236}">
                  <a16:creationId xmlns:a16="http://schemas.microsoft.com/office/drawing/2014/main" id="{C0F46E8A-372C-4DF3-A7FD-156FDB705D40}"/>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dr:sp macro="" textlink="">
          <xdr:nvSpPr>
            <xdr:cNvPr id="0" name=""/>
            <xdr:cNvSpPr>
              <a:spLocks noTextEdit="1"/>
            </xdr:cNvSpPr>
          </xdr:nvSpPr>
          <xdr:spPr>
            <a:xfrm>
              <a:off x="57150" y="10566400"/>
              <a:ext cx="1828800" cy="3340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190500</xdr:colOff>
      <xdr:row>0</xdr:row>
      <xdr:rowOff>0</xdr:rowOff>
    </xdr:from>
    <xdr:to>
      <xdr:col>11</xdr:col>
      <xdr:colOff>552450</xdr:colOff>
      <xdr:row>4</xdr:row>
      <xdr:rowOff>172950</xdr:rowOff>
    </xdr:to>
    <xdr:pic>
      <xdr:nvPicPr>
        <xdr:cNvPr id="17" name="Picture 16" descr="Theobroma Foods Pvt. Ltd – Company Profile, Jobs &amp; Hiring ...">
          <a:extLst>
            <a:ext uri="{FF2B5EF4-FFF2-40B4-BE49-F238E27FC236}">
              <a16:creationId xmlns:a16="http://schemas.microsoft.com/office/drawing/2014/main" id="{A80EC097-00AD-4A30-B5EE-6707C7B07BD9}"/>
            </a:ext>
          </a:extLst>
        </xdr:cNvPr>
        <xdr:cNvPicPr>
          <a:picLocks noChangeAspect="1" noChangeArrowheads="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14113" t="17218" r="13873" b="17220"/>
        <a:stretch/>
      </xdr:blipFill>
      <xdr:spPr bwMode="auto">
        <a:xfrm>
          <a:off x="4425950" y="0"/>
          <a:ext cx="2895600" cy="960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247650</xdr:colOff>
      <xdr:row>4</xdr:row>
      <xdr:rowOff>120650</xdr:rowOff>
    </xdr:from>
    <xdr:to>
      <xdr:col>5</xdr:col>
      <xdr:colOff>488950</xdr:colOff>
      <xdr:row>6</xdr:row>
      <xdr:rowOff>57150</xdr:rowOff>
    </xdr:to>
    <xdr:sp macro="" textlink="">
      <xdr:nvSpPr>
        <xdr:cNvPr id="2" name="Rectangle 1">
          <a:extLst>
            <a:ext uri="{FF2B5EF4-FFF2-40B4-BE49-F238E27FC236}">
              <a16:creationId xmlns:a16="http://schemas.microsoft.com/office/drawing/2014/main" id="{79B48560-29BF-4F9E-B391-5798AD1F4AD8}"/>
            </a:ext>
          </a:extLst>
        </xdr:cNvPr>
        <xdr:cNvSpPr/>
      </xdr:nvSpPr>
      <xdr:spPr>
        <a:xfrm>
          <a:off x="1466850" y="908050"/>
          <a:ext cx="2038350" cy="3048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273050</xdr:colOff>
      <xdr:row>4</xdr:row>
      <xdr:rowOff>146050</xdr:rowOff>
    </xdr:from>
    <xdr:to>
      <xdr:col>3</xdr:col>
      <xdr:colOff>514350</xdr:colOff>
      <xdr:row>6</xdr:row>
      <xdr:rowOff>44450</xdr:rowOff>
    </xdr:to>
    <xdr:sp macro="" textlink="">
      <xdr:nvSpPr>
        <xdr:cNvPr id="3" name="TextBox 2">
          <a:extLst>
            <a:ext uri="{FF2B5EF4-FFF2-40B4-BE49-F238E27FC236}">
              <a16:creationId xmlns:a16="http://schemas.microsoft.com/office/drawing/2014/main" id="{076203FC-2E87-49D3-8472-B0524DD705DF}"/>
            </a:ext>
          </a:extLst>
        </xdr:cNvPr>
        <xdr:cNvSpPr txBox="1"/>
      </xdr:nvSpPr>
      <xdr:spPr>
        <a:xfrm>
          <a:off x="1492250" y="933450"/>
          <a:ext cx="850900" cy="266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Total Sales</a:t>
          </a:r>
        </a:p>
        <a:p>
          <a:endParaRPr lang="en-US" sz="1100"/>
        </a:p>
      </xdr:txBody>
    </xdr:sp>
    <xdr:clientData/>
  </xdr:twoCellAnchor>
  <xdr:twoCellAnchor>
    <xdr:from>
      <xdr:col>3</xdr:col>
      <xdr:colOff>577850</xdr:colOff>
      <xdr:row>4</xdr:row>
      <xdr:rowOff>146050</xdr:rowOff>
    </xdr:from>
    <xdr:to>
      <xdr:col>5</xdr:col>
      <xdr:colOff>450850</xdr:colOff>
      <xdr:row>6</xdr:row>
      <xdr:rowOff>31750</xdr:rowOff>
    </xdr:to>
    <xdr:sp macro="" textlink="'Pivot Table'!I14">
      <xdr:nvSpPr>
        <xdr:cNvPr id="5" name="TextBox 4">
          <a:extLst>
            <a:ext uri="{FF2B5EF4-FFF2-40B4-BE49-F238E27FC236}">
              <a16:creationId xmlns:a16="http://schemas.microsoft.com/office/drawing/2014/main" id="{E02634D7-FD0F-4B39-B2A6-BB2013E57B6B}"/>
            </a:ext>
          </a:extLst>
        </xdr:cNvPr>
        <xdr:cNvSpPr txBox="1"/>
      </xdr:nvSpPr>
      <xdr:spPr>
        <a:xfrm>
          <a:off x="2406650" y="933450"/>
          <a:ext cx="1060450" cy="25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75250A3-6A64-49AD-BA29-84DC3A48834F}" type="TxLink">
            <a:rPr lang="en-US" sz="1100" b="0" i="0" u="none" strike="noStrike">
              <a:solidFill>
                <a:srgbClr val="000000"/>
              </a:solidFill>
              <a:latin typeface="Calibri"/>
              <a:ea typeface="Calibri"/>
              <a:cs typeface="Calibri"/>
            </a:rPr>
            <a:t>284068.5</a:t>
          </a:fld>
          <a:endParaRPr lang="en-US" sz="1100"/>
        </a:p>
      </xdr:txBody>
    </xdr:sp>
    <xdr:clientData/>
  </xdr:twoCellAnchor>
  <xdr:twoCellAnchor>
    <xdr:from>
      <xdr:col>12</xdr:col>
      <xdr:colOff>577850</xdr:colOff>
      <xdr:row>4</xdr:row>
      <xdr:rowOff>76200</xdr:rowOff>
    </xdr:from>
    <xdr:to>
      <xdr:col>14</xdr:col>
      <xdr:colOff>234950</xdr:colOff>
      <xdr:row>5</xdr:row>
      <xdr:rowOff>177800</xdr:rowOff>
    </xdr:to>
    <xdr:sp macro="" textlink="">
      <xdr:nvSpPr>
        <xdr:cNvPr id="8" name="Rectangle 7">
          <a:extLst>
            <a:ext uri="{FF2B5EF4-FFF2-40B4-BE49-F238E27FC236}">
              <a16:creationId xmlns:a16="http://schemas.microsoft.com/office/drawing/2014/main" id="{09C2420A-1A04-453D-9385-F6E7E700FF46}"/>
            </a:ext>
          </a:extLst>
        </xdr:cNvPr>
        <xdr:cNvSpPr/>
      </xdr:nvSpPr>
      <xdr:spPr>
        <a:xfrm>
          <a:off x="7956550" y="863600"/>
          <a:ext cx="1778000" cy="2857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603250</xdr:colOff>
      <xdr:row>4</xdr:row>
      <xdr:rowOff>95250</xdr:rowOff>
    </xdr:from>
    <xdr:to>
      <xdr:col>13</xdr:col>
      <xdr:colOff>723900</xdr:colOff>
      <xdr:row>5</xdr:row>
      <xdr:rowOff>158750</xdr:rowOff>
    </xdr:to>
    <xdr:sp macro="" textlink="">
      <xdr:nvSpPr>
        <xdr:cNvPr id="11" name="TextBox 10">
          <a:extLst>
            <a:ext uri="{FF2B5EF4-FFF2-40B4-BE49-F238E27FC236}">
              <a16:creationId xmlns:a16="http://schemas.microsoft.com/office/drawing/2014/main" id="{C7522808-9FCF-469B-AC0A-C6186786D643}"/>
            </a:ext>
          </a:extLst>
        </xdr:cNvPr>
        <xdr:cNvSpPr txBox="1"/>
      </xdr:nvSpPr>
      <xdr:spPr>
        <a:xfrm>
          <a:off x="7981950" y="882650"/>
          <a:ext cx="869950"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Profit</a:t>
          </a:r>
        </a:p>
      </xdr:txBody>
    </xdr:sp>
    <xdr:clientData/>
  </xdr:twoCellAnchor>
  <xdr:twoCellAnchor>
    <xdr:from>
      <xdr:col>13</xdr:col>
      <xdr:colOff>800100</xdr:colOff>
      <xdr:row>4</xdr:row>
      <xdr:rowOff>88900</xdr:rowOff>
    </xdr:from>
    <xdr:to>
      <xdr:col>14</xdr:col>
      <xdr:colOff>203200</xdr:colOff>
      <xdr:row>5</xdr:row>
      <xdr:rowOff>152400</xdr:rowOff>
    </xdr:to>
    <xdr:sp macro="" textlink="'Pivot Table'!B60">
      <xdr:nvSpPr>
        <xdr:cNvPr id="16" name="TextBox 15">
          <a:extLst>
            <a:ext uri="{FF2B5EF4-FFF2-40B4-BE49-F238E27FC236}">
              <a16:creationId xmlns:a16="http://schemas.microsoft.com/office/drawing/2014/main" id="{65319E99-7A7A-4268-8218-368E8D966014}"/>
            </a:ext>
          </a:extLst>
        </xdr:cNvPr>
        <xdr:cNvSpPr txBox="1"/>
      </xdr:nvSpPr>
      <xdr:spPr>
        <a:xfrm>
          <a:off x="8928100" y="876300"/>
          <a:ext cx="774700"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08E22C-9769-402F-B27F-FF79DDEF33DB}" type="TxLink">
            <a:rPr lang="en-US" sz="1100" b="0" i="0" u="none" strike="noStrike">
              <a:solidFill>
                <a:srgbClr val="000000"/>
              </a:solidFill>
              <a:latin typeface="Calibri"/>
              <a:ea typeface="Calibri"/>
              <a:cs typeface="Calibri"/>
            </a:rPr>
            <a:t>138369.46</a:t>
          </a:fld>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67.885170370369" createdVersion="7" refreshedVersion="7" minRefreshableVersion="3" recordCount="200" xr:uid="{4FB2FE26-9090-4526-9187-805C72ECA6CB}">
  <cacheSource type="worksheet">
    <worksheetSource ref="A1:O201" sheet="Theobroma Raw Data"/>
  </cacheSource>
  <cacheFields count="15">
    <cacheField name="Order ID" numFmtId="0">
      <sharedItems count="200">
        <s v="ORD10155"/>
        <s v="ORD10009"/>
        <s v="ORD10063"/>
        <s v="ORD10044"/>
        <s v="ORD10195"/>
        <s v="ORD10054"/>
        <s v="ORD10188"/>
        <s v="ORD10103"/>
        <s v="ORD10057"/>
        <s v="ORD10069"/>
        <s v="ORD10072"/>
        <s v="ORD10134"/>
        <s v="ORD10092"/>
        <s v="ORD10199"/>
        <s v="ORD10073"/>
        <s v="ORD10036"/>
        <s v="ORD10150"/>
        <s v="ORD10141"/>
        <s v="ORD10128"/>
        <s v="ORD10152"/>
        <s v="ORD10071"/>
        <s v="ORD10034"/>
        <s v="ORD10124"/>
        <s v="ORD10075"/>
        <s v="ORD10136"/>
        <s v="ORD10078"/>
        <s v="ORD10114"/>
        <s v="ORD10004"/>
        <s v="ORD10186"/>
        <s v="ORD10131"/>
        <s v="ORD10182"/>
        <s v="ORD10138"/>
        <s v="ORD10046"/>
        <s v="ORD10074"/>
        <s v="ORD10193"/>
        <s v="ORD10035"/>
        <s v="ORD10145"/>
        <s v="ORD10028"/>
        <s v="ORD10102"/>
        <s v="ORD10030"/>
        <s v="ORD10007"/>
        <s v="ORD10027"/>
        <s v="ORD10051"/>
        <s v="ORD10120"/>
        <s v="ORD10016"/>
        <s v="ORD10091"/>
        <s v="ORD10118"/>
        <s v="ORD10106"/>
        <s v="ORD10013"/>
        <s v="ORD10026"/>
        <s v="ORD10162"/>
        <s v="ORD10098"/>
        <s v="ORD10112"/>
        <s v="ORD10177"/>
        <s v="ORD10194"/>
        <s v="ORD10184"/>
        <s v="ORD10149"/>
        <s v="ORD10019"/>
        <s v="ORD10020"/>
        <s v="ORD10061"/>
        <s v="ORD10130"/>
        <s v="ORD10122"/>
        <s v="ORD10158"/>
        <s v="ORD10190"/>
        <s v="ORD10154"/>
        <s v="ORD10160"/>
        <s v="ORD10110"/>
        <s v="ORD10168"/>
        <s v="ORD10129"/>
        <s v="ORD10081"/>
        <s v="ORD10156"/>
        <s v="ORD10005"/>
        <s v="ORD10047"/>
        <s v="ORD10157"/>
        <s v="ORD10066"/>
        <s v="ORD10045"/>
        <s v="ORD10095"/>
        <s v="ORD10104"/>
        <s v="ORD10144"/>
        <s v="ORD10163"/>
        <s v="ORD10014"/>
        <s v="ORD10056"/>
        <s v="ORD10006"/>
        <s v="ORD10143"/>
        <s v="ORD10153"/>
        <s v="ORD10200"/>
        <s v="ORD10038"/>
        <s v="ORD10096"/>
        <s v="ORD10180"/>
        <s v="ORD10001"/>
        <s v="ORD10008"/>
        <s v="ORD10012"/>
        <s v="ORD10115"/>
        <s v="ORD10018"/>
        <s v="ORD10107"/>
        <s v="ORD10197"/>
        <s v="ORD10015"/>
        <s v="ORD10023"/>
        <s v="ORD10079"/>
        <s v="ORD10125"/>
        <s v="ORD10064"/>
        <s v="ORD10053"/>
        <s v="ORD10121"/>
        <s v="ORD10021"/>
        <s v="ORD10002"/>
        <s v="ORD10117"/>
        <s v="ORD10082"/>
        <s v="ORD10146"/>
        <s v="ORD10087"/>
        <s v="ORD10135"/>
        <s v="ORD10029"/>
        <s v="ORD10187"/>
        <s v="ORD10024"/>
        <s v="ORD10003"/>
        <s v="ORD10189"/>
        <s v="ORD10010"/>
        <s v="ORD10109"/>
        <s v="ORD10094"/>
        <s v="ORD10165"/>
        <s v="ORD10132"/>
        <s v="ORD10164"/>
        <s v="ORD10085"/>
        <s v="ORD10040"/>
        <s v="ORD10172"/>
        <s v="ORD10049"/>
        <s v="ORD10126"/>
        <s v="ORD10055"/>
        <s v="ORD10191"/>
        <s v="ORD10090"/>
        <s v="ORD10111"/>
        <s v="ORD10119"/>
        <s v="ORD10099"/>
        <s v="ORD10198"/>
        <s v="ORD10041"/>
        <s v="ORD10080"/>
        <s v="ORD10169"/>
        <s v="ORD10067"/>
        <s v="ORD10060"/>
        <s v="ORD10147"/>
        <s v="ORD10171"/>
        <s v="ORD10058"/>
        <s v="ORD10185"/>
        <s v="ORD10173"/>
        <s v="ORD10179"/>
        <s v="ORD10097"/>
        <s v="ORD10108"/>
        <s v="ORD10142"/>
        <s v="ORD10133"/>
        <s v="ORD10062"/>
        <s v="ORD10139"/>
        <s v="ORD10084"/>
        <s v="ORD10113"/>
        <s v="ORD10166"/>
        <s v="ORD10170"/>
        <s v="ORD10089"/>
        <s v="ORD10196"/>
        <s v="ORD10011"/>
        <s v="ORD10093"/>
        <s v="ORD10086"/>
        <s v="ORD10148"/>
        <s v="ORD10050"/>
        <s v="ORD10140"/>
        <s v="ORD10116"/>
        <s v="ORD10052"/>
        <s v="ORD10181"/>
        <s v="ORD10175"/>
        <s v="ORD10042"/>
        <s v="ORD10025"/>
        <s v="ORD10192"/>
        <s v="ORD10032"/>
        <s v="ORD10161"/>
        <s v="ORD10048"/>
        <s v="ORD10088"/>
        <s v="ORD10039"/>
        <s v="ORD10059"/>
        <s v="ORD10151"/>
        <s v="ORD10068"/>
        <s v="ORD10178"/>
        <s v="ORD10083"/>
        <s v="ORD10101"/>
        <s v="ORD10031"/>
        <s v="ORD10167"/>
        <s v="ORD10017"/>
        <s v="ORD10022"/>
        <s v="ORD10043"/>
        <s v="ORD10123"/>
        <s v="ORD10174"/>
        <s v="ORD10076"/>
        <s v="ORD10137"/>
        <s v="ORD10077"/>
        <s v="ORD10105"/>
        <s v="ORD10037"/>
        <s v="ORD10065"/>
        <s v="ORD10070"/>
        <s v="ORD10100"/>
        <s v="ORD10127"/>
        <s v="ORD10159"/>
        <s v="ORD10183"/>
        <s v="ORD10033"/>
        <s v="ORD10176"/>
      </sharedItems>
    </cacheField>
    <cacheField name="Order Date" numFmtId="164">
      <sharedItems containsSemiMixedTypes="0" containsNonDate="0" containsDate="1" containsString="0" minDate="2026-01-01T00:00:00" maxDate="2026-09-01T00:00:00"/>
    </cacheField>
    <cacheField name="City" numFmtId="0">
      <sharedItems count="8">
        <s v="Ahmedabad"/>
        <s v="Surat"/>
        <s v="Vadodara"/>
        <s v="Delhi"/>
        <s v="Mumbai"/>
        <s v="Pune"/>
        <s v="Bengaluru"/>
        <s v="Gurugram"/>
      </sharedItems>
    </cacheField>
    <cacheField name="Store" numFmtId="0">
      <sharedItems count="11">
        <s v="Theobroma - Prahlad Nagar"/>
        <s v="Theobroma - Adajan"/>
        <s v="Theobroma - Vesu"/>
        <s v="Theobroma - Alkapuri"/>
        <s v="Theobroma - Saket"/>
        <s v="Theobroma - CG Road"/>
        <s v="Theobroma - Powai"/>
        <s v="Theobroma - Koregaon Park"/>
        <s v="Theobroma - Andheri"/>
        <s v="Theobroma - Indiranagar"/>
        <s v="Theobroma - Cyber Hub"/>
      </sharedItems>
    </cacheField>
    <cacheField name="Product" numFmtId="0">
      <sharedItems count="20">
        <s v="Dutch Truffle Cake"/>
        <s v="Pineapple Cake"/>
        <s v="New York Cheesecake"/>
        <s v="Red Velvet Cake"/>
        <s v="Chocolate Mousse"/>
        <s v="Tiramisu"/>
        <s v="Millionaire Brownie"/>
        <s v="Chocolate Truffle Cake"/>
        <s v="Chocolate Chip Cookie"/>
        <s v="Red Velvet Cookie"/>
        <s v="Almond Croissant"/>
        <s v="Cinnamon Roll"/>
        <s v="Fresh Cream Cake"/>
        <s v="Banana Walnut Cake"/>
        <s v="Walnut Brownie"/>
        <s v="Choco Chip Brownie"/>
        <s v="Blueberry Cheesecake"/>
        <s v="Chocolate Croissant"/>
        <s v="Classic Croissant"/>
        <s v="Double Chocolate Cookie"/>
      </sharedItems>
    </cacheField>
    <cacheField name="Category" numFmtId="0">
      <sharedItems count="6">
        <s v="Cakes"/>
        <s v="Desserts"/>
        <s v="Brownies"/>
        <s v="Cookies"/>
        <s v="Pastries"/>
        <s v="Tea Cakes"/>
      </sharedItems>
    </cacheField>
    <cacheField name="Quantity" numFmtId="0">
      <sharedItems containsSemiMixedTypes="0" containsString="0" containsNumber="1" containsInteger="1" minValue="1" maxValue="8"/>
    </cacheField>
    <cacheField name="Unit Price" numFmtId="4">
      <sharedItems containsSemiMixedTypes="0" containsString="0" containsNumber="1" containsInteger="1" minValue="90" maxValue="950"/>
    </cacheField>
    <cacheField name="Discount %" numFmtId="165">
      <sharedItems containsSemiMixedTypes="0" containsString="0" containsNumber="1" containsInteger="1" minValue="0" maxValue="20"/>
    </cacheField>
    <cacheField name="Discount Amount" numFmtId="4">
      <sharedItems containsSemiMixedTypes="0" containsString="0" containsNumber="1" minValue="0" maxValue="1330"/>
    </cacheField>
    <cacheField name="Net Sales" numFmtId="4">
      <sharedItems containsSemiMixedTypes="0" containsString="0" containsNumber="1" minValue="80" maxValue="7200"/>
    </cacheField>
    <cacheField name="Cost" numFmtId="4">
      <sharedItems containsSemiMixedTypes="0" containsString="0" containsNumber="1" minValue="41.04" maxValue="3417.2"/>
    </cacheField>
    <cacheField name="Profit" numFmtId="4">
      <sharedItems containsSemiMixedTypes="0" containsString="0" containsNumber="1" minValue="38.96" maxValue="4036.35"/>
    </cacheField>
    <cacheField name="Sales Channel" numFmtId="0">
      <sharedItems count="3">
        <s v="Online"/>
        <s v="Store"/>
        <s v="Delivery"/>
      </sharedItems>
    </cacheField>
    <cacheField name="Payment Method" numFmtId="0">
      <sharedItems count="5">
        <s v="Debit Card"/>
        <s v="Credit Card"/>
        <s v="Wallet"/>
        <s v="Cash"/>
        <s v="UPI"/>
      </sharedItems>
    </cacheField>
  </cacheFields>
  <extLst>
    <ext xmlns:x14="http://schemas.microsoft.com/office/spreadsheetml/2009/9/main" uri="{725AE2AE-9491-48be-B2B4-4EB974FC3084}">
      <x14:pivotCacheDefinition pivotCacheId="7848837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d v="2026-01-01T00:00:00"/>
    <x v="0"/>
    <x v="0"/>
    <x v="0"/>
    <x v="0"/>
    <n v="8"/>
    <n v="950"/>
    <n v="15"/>
    <n v="1140"/>
    <n v="6460"/>
    <n v="3382.02"/>
    <n v="3077.98"/>
    <x v="0"/>
    <x v="0"/>
  </r>
  <r>
    <x v="1"/>
    <d v="2026-01-02T00:00:00"/>
    <x v="1"/>
    <x v="1"/>
    <x v="1"/>
    <x v="0"/>
    <n v="7"/>
    <n v="750"/>
    <n v="15"/>
    <n v="787.5"/>
    <n v="4462.5"/>
    <n v="2467.63"/>
    <n v="1994.87"/>
    <x v="0"/>
    <x v="1"/>
  </r>
  <r>
    <x v="2"/>
    <d v="2026-01-02T00:00:00"/>
    <x v="1"/>
    <x v="2"/>
    <x v="2"/>
    <x v="1"/>
    <n v="8"/>
    <n v="280"/>
    <n v="15"/>
    <n v="336"/>
    <n v="1904"/>
    <n v="1161.8900000000001"/>
    <n v="742.11"/>
    <x v="1"/>
    <x v="2"/>
  </r>
  <r>
    <x v="3"/>
    <d v="2026-01-06T00:00:00"/>
    <x v="1"/>
    <x v="2"/>
    <x v="3"/>
    <x v="0"/>
    <n v="5"/>
    <n v="900"/>
    <n v="10"/>
    <n v="450"/>
    <n v="4050"/>
    <n v="1842.46"/>
    <n v="2207.54"/>
    <x v="2"/>
    <x v="0"/>
  </r>
  <r>
    <x v="4"/>
    <d v="2026-01-07T00:00:00"/>
    <x v="2"/>
    <x v="3"/>
    <x v="4"/>
    <x v="1"/>
    <n v="4"/>
    <n v="220"/>
    <n v="10"/>
    <n v="88"/>
    <n v="792"/>
    <n v="427.93"/>
    <n v="364.07"/>
    <x v="0"/>
    <x v="3"/>
  </r>
  <r>
    <x v="5"/>
    <d v="2026-01-09T00:00:00"/>
    <x v="2"/>
    <x v="3"/>
    <x v="1"/>
    <x v="0"/>
    <n v="6"/>
    <n v="750"/>
    <n v="0"/>
    <n v="0"/>
    <n v="4500"/>
    <n v="2515.3200000000002"/>
    <n v="1984.68"/>
    <x v="2"/>
    <x v="4"/>
  </r>
  <r>
    <x v="6"/>
    <d v="2026-01-09T00:00:00"/>
    <x v="3"/>
    <x v="4"/>
    <x v="5"/>
    <x v="1"/>
    <n v="1"/>
    <n v="250"/>
    <n v="5"/>
    <n v="12.5"/>
    <n v="237.5"/>
    <n v="138.85"/>
    <n v="98.65"/>
    <x v="0"/>
    <x v="4"/>
  </r>
  <r>
    <x v="7"/>
    <d v="2026-01-12T00:00:00"/>
    <x v="0"/>
    <x v="5"/>
    <x v="6"/>
    <x v="2"/>
    <n v="8"/>
    <n v="220"/>
    <n v="5"/>
    <n v="88"/>
    <n v="1672"/>
    <n v="928.06"/>
    <n v="743.94"/>
    <x v="2"/>
    <x v="3"/>
  </r>
  <r>
    <x v="8"/>
    <d v="2026-01-13T00:00:00"/>
    <x v="2"/>
    <x v="3"/>
    <x v="4"/>
    <x v="1"/>
    <n v="5"/>
    <n v="220"/>
    <n v="0"/>
    <n v="0"/>
    <n v="1100"/>
    <n v="597.55999999999995"/>
    <n v="502.44"/>
    <x v="1"/>
    <x v="0"/>
  </r>
  <r>
    <x v="9"/>
    <d v="2026-01-13T00:00:00"/>
    <x v="0"/>
    <x v="5"/>
    <x v="7"/>
    <x v="0"/>
    <n v="2"/>
    <n v="850"/>
    <n v="15"/>
    <n v="255"/>
    <n v="1445"/>
    <n v="838.53"/>
    <n v="606.47"/>
    <x v="2"/>
    <x v="1"/>
  </r>
  <r>
    <x v="10"/>
    <d v="2026-01-13T00:00:00"/>
    <x v="4"/>
    <x v="6"/>
    <x v="8"/>
    <x v="3"/>
    <n v="6"/>
    <n v="90"/>
    <n v="0"/>
    <n v="0"/>
    <n v="540"/>
    <n v="256.04000000000002"/>
    <n v="283.95999999999998"/>
    <x v="2"/>
    <x v="2"/>
  </r>
  <r>
    <x v="11"/>
    <d v="2026-01-13T00:00:00"/>
    <x v="3"/>
    <x v="4"/>
    <x v="1"/>
    <x v="0"/>
    <n v="1"/>
    <n v="750"/>
    <n v="10"/>
    <n v="75"/>
    <n v="675"/>
    <n v="314.72000000000003"/>
    <n v="360.28"/>
    <x v="2"/>
    <x v="1"/>
  </r>
  <r>
    <x v="12"/>
    <d v="2026-01-15T00:00:00"/>
    <x v="3"/>
    <x v="4"/>
    <x v="5"/>
    <x v="1"/>
    <n v="5"/>
    <n v="250"/>
    <n v="15"/>
    <n v="187.5"/>
    <n v="1062.5"/>
    <n v="560.9"/>
    <n v="501.6"/>
    <x v="2"/>
    <x v="2"/>
  </r>
  <r>
    <x v="13"/>
    <d v="2026-01-15T00:00:00"/>
    <x v="3"/>
    <x v="4"/>
    <x v="9"/>
    <x v="3"/>
    <n v="4"/>
    <n v="100"/>
    <n v="5"/>
    <n v="20"/>
    <n v="380"/>
    <n v="204.12"/>
    <n v="175.88"/>
    <x v="0"/>
    <x v="1"/>
  </r>
  <r>
    <x v="14"/>
    <d v="2026-01-18T00:00:00"/>
    <x v="5"/>
    <x v="7"/>
    <x v="10"/>
    <x v="4"/>
    <n v="1"/>
    <n v="190"/>
    <n v="10"/>
    <n v="19"/>
    <n v="171"/>
    <n v="73.27"/>
    <n v="97.73"/>
    <x v="2"/>
    <x v="3"/>
  </r>
  <r>
    <x v="15"/>
    <d v="2026-01-20T00:00:00"/>
    <x v="4"/>
    <x v="6"/>
    <x v="11"/>
    <x v="4"/>
    <n v="8"/>
    <n v="160"/>
    <n v="5"/>
    <n v="64"/>
    <n v="1216"/>
    <n v="583.91"/>
    <n v="632.09"/>
    <x v="0"/>
    <x v="3"/>
  </r>
  <r>
    <x v="16"/>
    <d v="2026-01-20T00:00:00"/>
    <x v="4"/>
    <x v="8"/>
    <x v="10"/>
    <x v="4"/>
    <n v="2"/>
    <n v="190"/>
    <n v="0"/>
    <n v="0"/>
    <n v="380"/>
    <n v="171.78"/>
    <n v="208.22"/>
    <x v="2"/>
    <x v="0"/>
  </r>
  <r>
    <x v="17"/>
    <d v="2026-01-25T00:00:00"/>
    <x v="3"/>
    <x v="4"/>
    <x v="5"/>
    <x v="1"/>
    <n v="5"/>
    <n v="250"/>
    <n v="0"/>
    <n v="0"/>
    <n v="1250"/>
    <n v="710.9"/>
    <n v="539.1"/>
    <x v="0"/>
    <x v="1"/>
  </r>
  <r>
    <x v="18"/>
    <d v="2026-01-28T00:00:00"/>
    <x v="2"/>
    <x v="3"/>
    <x v="10"/>
    <x v="4"/>
    <n v="7"/>
    <n v="190"/>
    <n v="10"/>
    <n v="133"/>
    <n v="1197"/>
    <n v="554.54"/>
    <n v="642.46"/>
    <x v="0"/>
    <x v="1"/>
  </r>
  <r>
    <x v="19"/>
    <d v="2026-01-30T00:00:00"/>
    <x v="1"/>
    <x v="1"/>
    <x v="9"/>
    <x v="3"/>
    <n v="4"/>
    <n v="100"/>
    <n v="0"/>
    <n v="0"/>
    <n v="400"/>
    <n v="176.03"/>
    <n v="223.97"/>
    <x v="0"/>
    <x v="4"/>
  </r>
  <r>
    <x v="20"/>
    <d v="2026-01-31T00:00:00"/>
    <x v="0"/>
    <x v="5"/>
    <x v="12"/>
    <x v="0"/>
    <n v="1"/>
    <n v="800"/>
    <n v="10"/>
    <n v="80"/>
    <n v="720"/>
    <n v="409.71"/>
    <n v="310.29000000000002"/>
    <x v="0"/>
    <x v="4"/>
  </r>
  <r>
    <x v="21"/>
    <d v="2026-02-02T00:00:00"/>
    <x v="0"/>
    <x v="5"/>
    <x v="12"/>
    <x v="0"/>
    <n v="3"/>
    <n v="800"/>
    <n v="0"/>
    <n v="0"/>
    <n v="2400"/>
    <n v="1066.48"/>
    <n v="1333.52"/>
    <x v="1"/>
    <x v="2"/>
  </r>
  <r>
    <x v="22"/>
    <d v="2026-02-03T00:00:00"/>
    <x v="5"/>
    <x v="7"/>
    <x v="7"/>
    <x v="0"/>
    <n v="3"/>
    <n v="850"/>
    <n v="0"/>
    <n v="0"/>
    <n v="2550"/>
    <n v="1075.72"/>
    <n v="1474.28"/>
    <x v="2"/>
    <x v="2"/>
  </r>
  <r>
    <x v="23"/>
    <d v="2026-02-05T00:00:00"/>
    <x v="3"/>
    <x v="4"/>
    <x v="11"/>
    <x v="4"/>
    <n v="4"/>
    <n v="160"/>
    <n v="0"/>
    <n v="0"/>
    <n v="640"/>
    <n v="307.37"/>
    <n v="332.63"/>
    <x v="0"/>
    <x v="0"/>
  </r>
  <r>
    <x v="24"/>
    <d v="2026-02-06T00:00:00"/>
    <x v="3"/>
    <x v="4"/>
    <x v="4"/>
    <x v="1"/>
    <n v="8"/>
    <n v="220"/>
    <n v="5"/>
    <n v="88"/>
    <n v="1672"/>
    <n v="874.32"/>
    <n v="797.68"/>
    <x v="1"/>
    <x v="3"/>
  </r>
  <r>
    <x v="25"/>
    <d v="2026-02-07T00:00:00"/>
    <x v="6"/>
    <x v="9"/>
    <x v="13"/>
    <x v="5"/>
    <n v="4"/>
    <n v="450"/>
    <n v="5"/>
    <n v="90"/>
    <n v="1710"/>
    <n v="792.63"/>
    <n v="917.37"/>
    <x v="0"/>
    <x v="1"/>
  </r>
  <r>
    <x v="26"/>
    <d v="2026-02-07T00:00:00"/>
    <x v="2"/>
    <x v="3"/>
    <x v="14"/>
    <x v="2"/>
    <n v="2"/>
    <n v="200"/>
    <n v="5"/>
    <n v="20"/>
    <n v="380"/>
    <n v="181.13"/>
    <n v="198.87"/>
    <x v="1"/>
    <x v="1"/>
  </r>
  <r>
    <x v="27"/>
    <d v="2026-02-10T00:00:00"/>
    <x v="3"/>
    <x v="4"/>
    <x v="15"/>
    <x v="2"/>
    <n v="6"/>
    <n v="180"/>
    <n v="15"/>
    <n v="162"/>
    <n v="918"/>
    <n v="450.65"/>
    <n v="467.35"/>
    <x v="2"/>
    <x v="2"/>
  </r>
  <r>
    <x v="28"/>
    <d v="2026-02-10T00:00:00"/>
    <x v="6"/>
    <x v="9"/>
    <x v="4"/>
    <x v="1"/>
    <n v="7"/>
    <n v="220"/>
    <n v="10"/>
    <n v="154"/>
    <n v="1386"/>
    <n v="829.67"/>
    <n v="556.33000000000004"/>
    <x v="1"/>
    <x v="2"/>
  </r>
  <r>
    <x v="29"/>
    <d v="2026-02-12T00:00:00"/>
    <x v="6"/>
    <x v="9"/>
    <x v="2"/>
    <x v="1"/>
    <n v="1"/>
    <n v="280"/>
    <n v="15"/>
    <n v="42"/>
    <n v="238"/>
    <n v="147.16999999999999"/>
    <n v="90.83"/>
    <x v="1"/>
    <x v="2"/>
  </r>
  <r>
    <x v="30"/>
    <d v="2026-02-12T00:00:00"/>
    <x v="6"/>
    <x v="9"/>
    <x v="8"/>
    <x v="3"/>
    <n v="5"/>
    <n v="90"/>
    <n v="0"/>
    <n v="0"/>
    <n v="450"/>
    <n v="238.7"/>
    <n v="211.3"/>
    <x v="1"/>
    <x v="1"/>
  </r>
  <r>
    <x v="31"/>
    <d v="2026-02-13T00:00:00"/>
    <x v="1"/>
    <x v="2"/>
    <x v="13"/>
    <x v="5"/>
    <n v="3"/>
    <n v="450"/>
    <n v="10"/>
    <n v="135"/>
    <n v="1215"/>
    <n v="719.03"/>
    <n v="495.97"/>
    <x v="2"/>
    <x v="1"/>
  </r>
  <r>
    <x v="32"/>
    <d v="2026-02-14T00:00:00"/>
    <x v="5"/>
    <x v="7"/>
    <x v="7"/>
    <x v="0"/>
    <n v="4"/>
    <n v="850"/>
    <n v="20"/>
    <n v="680"/>
    <n v="2720"/>
    <n v="1278.07"/>
    <n v="1441.93"/>
    <x v="0"/>
    <x v="2"/>
  </r>
  <r>
    <x v="33"/>
    <d v="2026-02-14T00:00:00"/>
    <x v="1"/>
    <x v="2"/>
    <x v="0"/>
    <x v="0"/>
    <n v="7"/>
    <n v="950"/>
    <n v="5"/>
    <n v="332.5"/>
    <n v="6317.5"/>
    <n v="3232.74"/>
    <n v="3084.76"/>
    <x v="0"/>
    <x v="1"/>
  </r>
  <r>
    <x v="34"/>
    <d v="2026-02-14T00:00:00"/>
    <x v="1"/>
    <x v="2"/>
    <x v="9"/>
    <x v="3"/>
    <n v="4"/>
    <n v="100"/>
    <n v="20"/>
    <n v="80"/>
    <n v="320"/>
    <n v="196.84"/>
    <n v="123.16"/>
    <x v="2"/>
    <x v="4"/>
  </r>
  <r>
    <x v="35"/>
    <d v="2026-02-18T00:00:00"/>
    <x v="3"/>
    <x v="4"/>
    <x v="11"/>
    <x v="4"/>
    <n v="4"/>
    <n v="160"/>
    <n v="20"/>
    <n v="128"/>
    <n v="512"/>
    <n v="288.3"/>
    <n v="223.7"/>
    <x v="1"/>
    <x v="2"/>
  </r>
  <r>
    <x v="36"/>
    <d v="2026-02-18T00:00:00"/>
    <x v="0"/>
    <x v="0"/>
    <x v="4"/>
    <x v="1"/>
    <n v="2"/>
    <n v="220"/>
    <n v="0"/>
    <n v="0"/>
    <n v="440"/>
    <n v="251.11"/>
    <n v="188.89"/>
    <x v="2"/>
    <x v="1"/>
  </r>
  <r>
    <x v="37"/>
    <d v="2026-02-19T00:00:00"/>
    <x v="4"/>
    <x v="8"/>
    <x v="13"/>
    <x v="5"/>
    <n v="3"/>
    <n v="450"/>
    <n v="20"/>
    <n v="270"/>
    <n v="1080"/>
    <n v="516.44000000000005"/>
    <n v="563.55999999999995"/>
    <x v="0"/>
    <x v="1"/>
  </r>
  <r>
    <x v="38"/>
    <d v="2026-02-23T00:00:00"/>
    <x v="3"/>
    <x v="4"/>
    <x v="16"/>
    <x v="1"/>
    <n v="1"/>
    <n v="260"/>
    <n v="10"/>
    <n v="26"/>
    <n v="234"/>
    <n v="135.82"/>
    <n v="98.18"/>
    <x v="2"/>
    <x v="2"/>
  </r>
  <r>
    <x v="39"/>
    <d v="2026-02-24T00:00:00"/>
    <x v="6"/>
    <x v="9"/>
    <x v="8"/>
    <x v="3"/>
    <n v="8"/>
    <n v="90"/>
    <n v="20"/>
    <n v="144"/>
    <n v="576"/>
    <n v="301.69"/>
    <n v="274.31"/>
    <x v="1"/>
    <x v="3"/>
  </r>
  <r>
    <x v="40"/>
    <d v="2026-02-25T00:00:00"/>
    <x v="1"/>
    <x v="1"/>
    <x v="17"/>
    <x v="4"/>
    <n v="3"/>
    <n v="170"/>
    <n v="10"/>
    <n v="51"/>
    <n v="459"/>
    <n v="232.91"/>
    <n v="226.09"/>
    <x v="1"/>
    <x v="3"/>
  </r>
  <r>
    <x v="41"/>
    <d v="2026-02-25T00:00:00"/>
    <x v="5"/>
    <x v="7"/>
    <x v="9"/>
    <x v="3"/>
    <n v="8"/>
    <n v="100"/>
    <n v="0"/>
    <n v="0"/>
    <n v="800"/>
    <n v="424.78"/>
    <n v="375.22"/>
    <x v="0"/>
    <x v="1"/>
  </r>
  <r>
    <x v="42"/>
    <d v="2026-02-26T00:00:00"/>
    <x v="4"/>
    <x v="6"/>
    <x v="18"/>
    <x v="4"/>
    <n v="5"/>
    <n v="140"/>
    <n v="5"/>
    <n v="35"/>
    <n v="665"/>
    <n v="328.03"/>
    <n v="336.97"/>
    <x v="2"/>
    <x v="0"/>
  </r>
  <r>
    <x v="43"/>
    <d v="2026-02-26T00:00:00"/>
    <x v="2"/>
    <x v="3"/>
    <x v="17"/>
    <x v="4"/>
    <n v="4"/>
    <n v="170"/>
    <n v="5"/>
    <n v="34"/>
    <n v="646"/>
    <n v="271.52999999999997"/>
    <n v="374.47"/>
    <x v="1"/>
    <x v="2"/>
  </r>
  <r>
    <x v="44"/>
    <d v="2026-02-28T00:00:00"/>
    <x v="4"/>
    <x v="6"/>
    <x v="1"/>
    <x v="0"/>
    <n v="4"/>
    <n v="750"/>
    <n v="5"/>
    <n v="150"/>
    <n v="2850"/>
    <n v="1556.26"/>
    <n v="1293.74"/>
    <x v="0"/>
    <x v="4"/>
  </r>
  <r>
    <x v="45"/>
    <d v="2026-03-01T00:00:00"/>
    <x v="4"/>
    <x v="6"/>
    <x v="0"/>
    <x v="0"/>
    <n v="3"/>
    <n v="950"/>
    <n v="15"/>
    <n v="427.5"/>
    <n v="2422.5"/>
    <n v="1326.36"/>
    <n v="1096.1400000000001"/>
    <x v="0"/>
    <x v="0"/>
  </r>
  <r>
    <x v="46"/>
    <d v="2026-03-01T00:00:00"/>
    <x v="2"/>
    <x v="3"/>
    <x v="7"/>
    <x v="0"/>
    <n v="1"/>
    <n v="850"/>
    <n v="10"/>
    <n v="85"/>
    <n v="765"/>
    <n v="390.93"/>
    <n v="374.07"/>
    <x v="1"/>
    <x v="3"/>
  </r>
  <r>
    <x v="47"/>
    <d v="2026-03-03T00:00:00"/>
    <x v="7"/>
    <x v="10"/>
    <x v="16"/>
    <x v="1"/>
    <n v="6"/>
    <n v="260"/>
    <n v="0"/>
    <n v="0"/>
    <n v="1560"/>
    <n v="921.27"/>
    <n v="638.73"/>
    <x v="0"/>
    <x v="2"/>
  </r>
  <r>
    <x v="48"/>
    <d v="2026-03-10T00:00:00"/>
    <x v="3"/>
    <x v="4"/>
    <x v="0"/>
    <x v="0"/>
    <n v="7"/>
    <n v="950"/>
    <n v="20"/>
    <n v="1330"/>
    <n v="5320"/>
    <n v="2938.68"/>
    <n v="2381.3200000000002"/>
    <x v="1"/>
    <x v="0"/>
  </r>
  <r>
    <x v="49"/>
    <d v="2026-03-10T00:00:00"/>
    <x v="6"/>
    <x v="9"/>
    <x v="2"/>
    <x v="1"/>
    <n v="1"/>
    <n v="280"/>
    <n v="0"/>
    <n v="0"/>
    <n v="280"/>
    <n v="158.31"/>
    <n v="121.69"/>
    <x v="2"/>
    <x v="1"/>
  </r>
  <r>
    <x v="50"/>
    <d v="2026-03-10T00:00:00"/>
    <x v="0"/>
    <x v="0"/>
    <x v="13"/>
    <x v="5"/>
    <n v="3"/>
    <n v="450"/>
    <n v="20"/>
    <n v="270"/>
    <n v="1080"/>
    <n v="552.58000000000004"/>
    <n v="527.41999999999996"/>
    <x v="2"/>
    <x v="0"/>
  </r>
  <r>
    <x v="51"/>
    <d v="2026-03-11T00:00:00"/>
    <x v="7"/>
    <x v="10"/>
    <x v="10"/>
    <x v="4"/>
    <n v="6"/>
    <n v="190"/>
    <n v="20"/>
    <n v="228"/>
    <n v="912"/>
    <n v="525.67999999999995"/>
    <n v="386.32"/>
    <x v="2"/>
    <x v="4"/>
  </r>
  <r>
    <x v="52"/>
    <d v="2026-03-11T00:00:00"/>
    <x v="5"/>
    <x v="7"/>
    <x v="10"/>
    <x v="4"/>
    <n v="8"/>
    <n v="190"/>
    <n v="5"/>
    <n v="76"/>
    <n v="1444"/>
    <n v="674.38"/>
    <n v="769.62"/>
    <x v="0"/>
    <x v="2"/>
  </r>
  <r>
    <x v="53"/>
    <d v="2026-03-12T00:00:00"/>
    <x v="1"/>
    <x v="1"/>
    <x v="16"/>
    <x v="1"/>
    <n v="6"/>
    <n v="260"/>
    <n v="5"/>
    <n v="78"/>
    <n v="1482"/>
    <n v="796.12"/>
    <n v="685.88"/>
    <x v="0"/>
    <x v="1"/>
  </r>
  <r>
    <x v="54"/>
    <d v="2026-03-12T00:00:00"/>
    <x v="1"/>
    <x v="2"/>
    <x v="2"/>
    <x v="1"/>
    <n v="8"/>
    <n v="280"/>
    <n v="0"/>
    <n v="0"/>
    <n v="2240"/>
    <n v="1194.56"/>
    <n v="1045.44"/>
    <x v="2"/>
    <x v="1"/>
  </r>
  <r>
    <x v="55"/>
    <d v="2026-03-14T00:00:00"/>
    <x v="0"/>
    <x v="0"/>
    <x v="14"/>
    <x v="2"/>
    <n v="3"/>
    <n v="200"/>
    <n v="10"/>
    <n v="60"/>
    <n v="540"/>
    <n v="272.68"/>
    <n v="267.32"/>
    <x v="1"/>
    <x v="3"/>
  </r>
  <r>
    <x v="56"/>
    <d v="2026-03-15T00:00:00"/>
    <x v="0"/>
    <x v="5"/>
    <x v="3"/>
    <x v="0"/>
    <n v="8"/>
    <n v="900"/>
    <n v="0"/>
    <n v="0"/>
    <n v="7200"/>
    <n v="3163.65"/>
    <n v="4036.35"/>
    <x v="2"/>
    <x v="3"/>
  </r>
  <r>
    <x v="57"/>
    <d v="2026-03-16T00:00:00"/>
    <x v="6"/>
    <x v="9"/>
    <x v="12"/>
    <x v="0"/>
    <n v="6"/>
    <n v="800"/>
    <n v="15"/>
    <n v="720"/>
    <n v="4080"/>
    <n v="1857.85"/>
    <n v="2222.15"/>
    <x v="0"/>
    <x v="4"/>
  </r>
  <r>
    <x v="58"/>
    <d v="2026-03-17T00:00:00"/>
    <x v="4"/>
    <x v="8"/>
    <x v="2"/>
    <x v="1"/>
    <n v="4"/>
    <n v="280"/>
    <n v="10"/>
    <n v="112"/>
    <n v="1008"/>
    <n v="541.11"/>
    <n v="466.89"/>
    <x v="0"/>
    <x v="4"/>
  </r>
  <r>
    <x v="59"/>
    <d v="2026-03-18T00:00:00"/>
    <x v="3"/>
    <x v="4"/>
    <x v="6"/>
    <x v="2"/>
    <n v="5"/>
    <n v="220"/>
    <n v="5"/>
    <n v="55"/>
    <n v="1045"/>
    <n v="469.79"/>
    <n v="575.21"/>
    <x v="1"/>
    <x v="0"/>
  </r>
  <r>
    <x v="60"/>
    <d v="2026-03-19T00:00:00"/>
    <x v="2"/>
    <x v="3"/>
    <x v="4"/>
    <x v="1"/>
    <n v="7"/>
    <n v="220"/>
    <n v="0"/>
    <n v="0"/>
    <n v="1540"/>
    <n v="829.7"/>
    <n v="710.3"/>
    <x v="1"/>
    <x v="3"/>
  </r>
  <r>
    <x v="61"/>
    <d v="2026-03-20T00:00:00"/>
    <x v="5"/>
    <x v="7"/>
    <x v="15"/>
    <x v="2"/>
    <n v="2"/>
    <n v="180"/>
    <n v="10"/>
    <n v="36"/>
    <n v="324"/>
    <n v="167.18"/>
    <n v="156.82"/>
    <x v="2"/>
    <x v="1"/>
  </r>
  <r>
    <x v="62"/>
    <d v="2026-03-20T00:00:00"/>
    <x v="0"/>
    <x v="5"/>
    <x v="9"/>
    <x v="3"/>
    <n v="1"/>
    <n v="100"/>
    <n v="20"/>
    <n v="20"/>
    <n v="80"/>
    <n v="41.04"/>
    <n v="38.96"/>
    <x v="2"/>
    <x v="0"/>
  </r>
  <r>
    <x v="63"/>
    <d v="2026-03-21T00:00:00"/>
    <x v="6"/>
    <x v="9"/>
    <x v="11"/>
    <x v="4"/>
    <n v="3"/>
    <n v="160"/>
    <n v="15"/>
    <n v="72"/>
    <n v="408"/>
    <n v="212.5"/>
    <n v="195.5"/>
    <x v="2"/>
    <x v="0"/>
  </r>
  <r>
    <x v="64"/>
    <d v="2026-03-24T00:00:00"/>
    <x v="5"/>
    <x v="7"/>
    <x v="19"/>
    <x v="3"/>
    <n v="6"/>
    <n v="110"/>
    <n v="10"/>
    <n v="66"/>
    <n v="594"/>
    <n v="278.99"/>
    <n v="315.01"/>
    <x v="1"/>
    <x v="1"/>
  </r>
  <r>
    <x v="65"/>
    <d v="2026-03-24T00:00:00"/>
    <x v="3"/>
    <x v="4"/>
    <x v="9"/>
    <x v="3"/>
    <n v="6"/>
    <n v="100"/>
    <n v="10"/>
    <n v="60"/>
    <n v="540"/>
    <n v="263.77999999999997"/>
    <n v="276.22000000000003"/>
    <x v="1"/>
    <x v="3"/>
  </r>
  <r>
    <x v="66"/>
    <d v="2026-03-25T00:00:00"/>
    <x v="4"/>
    <x v="8"/>
    <x v="12"/>
    <x v="0"/>
    <n v="4"/>
    <n v="800"/>
    <n v="0"/>
    <n v="0"/>
    <n v="3200"/>
    <n v="1577.84"/>
    <n v="1622.16"/>
    <x v="1"/>
    <x v="1"/>
  </r>
  <r>
    <x v="67"/>
    <d v="2026-03-25T00:00:00"/>
    <x v="4"/>
    <x v="6"/>
    <x v="16"/>
    <x v="1"/>
    <n v="4"/>
    <n v="260"/>
    <n v="10"/>
    <n v="104"/>
    <n v="936"/>
    <n v="475.5"/>
    <n v="460.5"/>
    <x v="1"/>
    <x v="2"/>
  </r>
  <r>
    <x v="68"/>
    <d v="2026-03-26T00:00:00"/>
    <x v="0"/>
    <x v="0"/>
    <x v="7"/>
    <x v="0"/>
    <n v="6"/>
    <n v="850"/>
    <n v="5"/>
    <n v="255"/>
    <n v="4845"/>
    <n v="2195.2600000000002"/>
    <n v="2649.74"/>
    <x v="0"/>
    <x v="2"/>
  </r>
  <r>
    <x v="69"/>
    <d v="2026-03-29T00:00:00"/>
    <x v="5"/>
    <x v="7"/>
    <x v="16"/>
    <x v="1"/>
    <n v="5"/>
    <n v="260"/>
    <n v="20"/>
    <n v="260"/>
    <n v="1040"/>
    <n v="590.03"/>
    <n v="449.97"/>
    <x v="0"/>
    <x v="4"/>
  </r>
  <r>
    <x v="70"/>
    <d v="2026-03-29T00:00:00"/>
    <x v="5"/>
    <x v="7"/>
    <x v="8"/>
    <x v="3"/>
    <n v="4"/>
    <n v="90"/>
    <n v="0"/>
    <n v="0"/>
    <n v="360"/>
    <n v="160.25"/>
    <n v="199.75"/>
    <x v="2"/>
    <x v="0"/>
  </r>
  <r>
    <x v="71"/>
    <d v="2026-03-30T00:00:00"/>
    <x v="3"/>
    <x v="4"/>
    <x v="5"/>
    <x v="1"/>
    <n v="2"/>
    <n v="250"/>
    <n v="10"/>
    <n v="50"/>
    <n v="450"/>
    <n v="192.94"/>
    <n v="257.06"/>
    <x v="1"/>
    <x v="3"/>
  </r>
  <r>
    <x v="72"/>
    <d v="2026-04-01T00:00:00"/>
    <x v="2"/>
    <x v="3"/>
    <x v="7"/>
    <x v="0"/>
    <n v="1"/>
    <n v="850"/>
    <n v="20"/>
    <n v="170"/>
    <n v="680"/>
    <n v="299.43"/>
    <n v="380.57"/>
    <x v="1"/>
    <x v="4"/>
  </r>
  <r>
    <x v="73"/>
    <d v="2026-04-01T00:00:00"/>
    <x v="7"/>
    <x v="10"/>
    <x v="3"/>
    <x v="0"/>
    <n v="2"/>
    <n v="900"/>
    <n v="10"/>
    <n v="180"/>
    <n v="1620"/>
    <n v="747.7"/>
    <n v="872.3"/>
    <x v="1"/>
    <x v="4"/>
  </r>
  <r>
    <x v="74"/>
    <d v="2026-04-05T00:00:00"/>
    <x v="3"/>
    <x v="4"/>
    <x v="10"/>
    <x v="4"/>
    <n v="1"/>
    <n v="190"/>
    <n v="20"/>
    <n v="38"/>
    <n v="152"/>
    <n v="90.57"/>
    <n v="61.43"/>
    <x v="1"/>
    <x v="2"/>
  </r>
  <r>
    <x v="75"/>
    <d v="2026-04-06T00:00:00"/>
    <x v="5"/>
    <x v="7"/>
    <x v="2"/>
    <x v="1"/>
    <n v="7"/>
    <n v="280"/>
    <n v="15"/>
    <n v="294"/>
    <n v="1666"/>
    <n v="867.83"/>
    <n v="798.17"/>
    <x v="2"/>
    <x v="3"/>
  </r>
  <r>
    <x v="76"/>
    <d v="2026-04-06T00:00:00"/>
    <x v="7"/>
    <x v="10"/>
    <x v="16"/>
    <x v="1"/>
    <n v="6"/>
    <n v="260"/>
    <n v="0"/>
    <n v="0"/>
    <n v="1560"/>
    <n v="760.92"/>
    <n v="799.08"/>
    <x v="1"/>
    <x v="4"/>
  </r>
  <r>
    <x v="77"/>
    <d v="2026-04-06T00:00:00"/>
    <x v="0"/>
    <x v="0"/>
    <x v="4"/>
    <x v="1"/>
    <n v="6"/>
    <n v="220"/>
    <n v="15"/>
    <n v="198"/>
    <n v="1122"/>
    <n v="482.23"/>
    <n v="639.77"/>
    <x v="1"/>
    <x v="3"/>
  </r>
  <r>
    <x v="78"/>
    <d v="2026-04-06T00:00:00"/>
    <x v="2"/>
    <x v="3"/>
    <x v="6"/>
    <x v="2"/>
    <n v="3"/>
    <n v="220"/>
    <n v="15"/>
    <n v="99"/>
    <n v="561"/>
    <n v="253.89"/>
    <n v="307.11"/>
    <x v="1"/>
    <x v="4"/>
  </r>
  <r>
    <x v="79"/>
    <d v="2026-04-06T00:00:00"/>
    <x v="3"/>
    <x v="4"/>
    <x v="16"/>
    <x v="1"/>
    <n v="4"/>
    <n v="260"/>
    <n v="0"/>
    <n v="0"/>
    <n v="1040"/>
    <n v="503.18"/>
    <n v="536.82000000000005"/>
    <x v="0"/>
    <x v="3"/>
  </r>
  <r>
    <x v="80"/>
    <d v="2026-04-09T00:00:00"/>
    <x v="7"/>
    <x v="10"/>
    <x v="2"/>
    <x v="1"/>
    <n v="4"/>
    <n v="280"/>
    <n v="5"/>
    <n v="56"/>
    <n v="1064"/>
    <n v="482.41"/>
    <n v="581.59"/>
    <x v="0"/>
    <x v="4"/>
  </r>
  <r>
    <x v="81"/>
    <d v="2026-04-09T00:00:00"/>
    <x v="7"/>
    <x v="10"/>
    <x v="1"/>
    <x v="0"/>
    <n v="7"/>
    <n v="750"/>
    <n v="10"/>
    <n v="525"/>
    <n v="4725"/>
    <n v="2724.08"/>
    <n v="2000.92"/>
    <x v="2"/>
    <x v="2"/>
  </r>
  <r>
    <x v="82"/>
    <d v="2026-04-10T00:00:00"/>
    <x v="6"/>
    <x v="9"/>
    <x v="6"/>
    <x v="2"/>
    <n v="8"/>
    <n v="220"/>
    <n v="5"/>
    <n v="88"/>
    <n v="1672"/>
    <n v="826.12"/>
    <n v="845.88"/>
    <x v="0"/>
    <x v="4"/>
  </r>
  <r>
    <x v="83"/>
    <d v="2026-04-10T00:00:00"/>
    <x v="5"/>
    <x v="7"/>
    <x v="11"/>
    <x v="4"/>
    <n v="4"/>
    <n v="160"/>
    <n v="0"/>
    <n v="0"/>
    <n v="640"/>
    <n v="388.53"/>
    <n v="251.47"/>
    <x v="0"/>
    <x v="4"/>
  </r>
  <r>
    <x v="84"/>
    <d v="2026-04-11T00:00:00"/>
    <x v="5"/>
    <x v="7"/>
    <x v="1"/>
    <x v="0"/>
    <n v="6"/>
    <n v="750"/>
    <n v="0"/>
    <n v="0"/>
    <n v="4500"/>
    <n v="2110.73"/>
    <n v="2389.27"/>
    <x v="2"/>
    <x v="4"/>
  </r>
  <r>
    <x v="85"/>
    <d v="2026-04-11T00:00:00"/>
    <x v="0"/>
    <x v="5"/>
    <x v="19"/>
    <x v="3"/>
    <n v="1"/>
    <n v="110"/>
    <n v="0"/>
    <n v="0"/>
    <n v="110"/>
    <n v="55.5"/>
    <n v="54.5"/>
    <x v="1"/>
    <x v="4"/>
  </r>
  <r>
    <x v="86"/>
    <d v="2026-04-12T00:00:00"/>
    <x v="0"/>
    <x v="0"/>
    <x v="3"/>
    <x v="0"/>
    <n v="6"/>
    <n v="900"/>
    <n v="0"/>
    <n v="0"/>
    <n v="5400"/>
    <n v="2911.73"/>
    <n v="2488.27"/>
    <x v="1"/>
    <x v="3"/>
  </r>
  <r>
    <x v="87"/>
    <d v="2026-04-13T00:00:00"/>
    <x v="7"/>
    <x v="10"/>
    <x v="2"/>
    <x v="1"/>
    <n v="4"/>
    <n v="280"/>
    <n v="5"/>
    <n v="56"/>
    <n v="1064"/>
    <n v="574.24"/>
    <n v="489.76"/>
    <x v="1"/>
    <x v="1"/>
  </r>
  <r>
    <x v="88"/>
    <d v="2026-04-13T00:00:00"/>
    <x v="1"/>
    <x v="1"/>
    <x v="1"/>
    <x v="0"/>
    <n v="1"/>
    <n v="750"/>
    <n v="5"/>
    <n v="37.5"/>
    <n v="712.5"/>
    <n v="432.19"/>
    <n v="280.31"/>
    <x v="1"/>
    <x v="3"/>
  </r>
  <r>
    <x v="89"/>
    <d v="2026-04-16T00:00:00"/>
    <x v="0"/>
    <x v="0"/>
    <x v="2"/>
    <x v="1"/>
    <n v="4"/>
    <n v="280"/>
    <n v="20"/>
    <n v="224"/>
    <n v="896"/>
    <n v="501.29"/>
    <n v="394.71"/>
    <x v="1"/>
    <x v="2"/>
  </r>
  <r>
    <x v="90"/>
    <d v="2026-04-16T00:00:00"/>
    <x v="0"/>
    <x v="5"/>
    <x v="5"/>
    <x v="1"/>
    <n v="7"/>
    <n v="250"/>
    <n v="15"/>
    <n v="262.5"/>
    <n v="1487.5"/>
    <n v="740.02"/>
    <n v="747.48"/>
    <x v="1"/>
    <x v="3"/>
  </r>
  <r>
    <x v="91"/>
    <d v="2026-04-17T00:00:00"/>
    <x v="5"/>
    <x v="7"/>
    <x v="7"/>
    <x v="0"/>
    <n v="3"/>
    <n v="850"/>
    <n v="20"/>
    <n v="510"/>
    <n v="2040"/>
    <n v="1023.48"/>
    <n v="1016.52"/>
    <x v="2"/>
    <x v="4"/>
  </r>
  <r>
    <x v="92"/>
    <d v="2026-04-17T00:00:00"/>
    <x v="5"/>
    <x v="7"/>
    <x v="5"/>
    <x v="1"/>
    <n v="6"/>
    <n v="250"/>
    <n v="20"/>
    <n v="300"/>
    <n v="1200"/>
    <n v="742.73"/>
    <n v="457.27"/>
    <x v="0"/>
    <x v="1"/>
  </r>
  <r>
    <x v="93"/>
    <d v="2026-04-20T00:00:00"/>
    <x v="2"/>
    <x v="3"/>
    <x v="4"/>
    <x v="1"/>
    <n v="7"/>
    <n v="220"/>
    <n v="15"/>
    <n v="231"/>
    <n v="1309"/>
    <n v="575.02"/>
    <n v="733.98"/>
    <x v="0"/>
    <x v="4"/>
  </r>
  <r>
    <x v="94"/>
    <d v="2026-04-20T00:00:00"/>
    <x v="2"/>
    <x v="3"/>
    <x v="4"/>
    <x v="1"/>
    <n v="5"/>
    <n v="220"/>
    <n v="5"/>
    <n v="55"/>
    <n v="1045"/>
    <n v="496.34"/>
    <n v="548.66"/>
    <x v="2"/>
    <x v="4"/>
  </r>
  <r>
    <x v="95"/>
    <d v="2026-04-20T00:00:00"/>
    <x v="1"/>
    <x v="1"/>
    <x v="1"/>
    <x v="0"/>
    <n v="3"/>
    <n v="750"/>
    <n v="10"/>
    <n v="225"/>
    <n v="2025"/>
    <n v="1124.54"/>
    <n v="900.46"/>
    <x v="1"/>
    <x v="4"/>
  </r>
  <r>
    <x v="96"/>
    <d v="2026-04-23T00:00:00"/>
    <x v="3"/>
    <x v="4"/>
    <x v="4"/>
    <x v="1"/>
    <n v="6"/>
    <n v="220"/>
    <n v="15"/>
    <n v="198"/>
    <n v="1122"/>
    <n v="583.66999999999996"/>
    <n v="538.33000000000004"/>
    <x v="2"/>
    <x v="0"/>
  </r>
  <r>
    <x v="97"/>
    <d v="2026-04-24T00:00:00"/>
    <x v="1"/>
    <x v="1"/>
    <x v="18"/>
    <x v="4"/>
    <n v="4"/>
    <n v="140"/>
    <n v="15"/>
    <n v="84"/>
    <n v="476"/>
    <n v="207.8"/>
    <n v="268.2"/>
    <x v="0"/>
    <x v="0"/>
  </r>
  <r>
    <x v="98"/>
    <d v="2026-04-26T00:00:00"/>
    <x v="0"/>
    <x v="5"/>
    <x v="18"/>
    <x v="4"/>
    <n v="4"/>
    <n v="140"/>
    <n v="0"/>
    <n v="0"/>
    <n v="560"/>
    <n v="299.32"/>
    <n v="260.68"/>
    <x v="0"/>
    <x v="0"/>
  </r>
  <r>
    <x v="99"/>
    <d v="2026-04-26T00:00:00"/>
    <x v="1"/>
    <x v="2"/>
    <x v="4"/>
    <x v="1"/>
    <n v="5"/>
    <n v="220"/>
    <n v="0"/>
    <n v="0"/>
    <n v="1100"/>
    <n v="587.23"/>
    <n v="512.77"/>
    <x v="0"/>
    <x v="2"/>
  </r>
  <r>
    <x v="100"/>
    <d v="2026-04-27T00:00:00"/>
    <x v="6"/>
    <x v="9"/>
    <x v="3"/>
    <x v="0"/>
    <n v="1"/>
    <n v="900"/>
    <n v="10"/>
    <n v="90"/>
    <n v="810"/>
    <n v="451.35"/>
    <n v="358.65"/>
    <x v="1"/>
    <x v="0"/>
  </r>
  <r>
    <x v="101"/>
    <d v="2026-04-29T00:00:00"/>
    <x v="5"/>
    <x v="7"/>
    <x v="13"/>
    <x v="5"/>
    <n v="7"/>
    <n v="450"/>
    <n v="10"/>
    <n v="315"/>
    <n v="2835"/>
    <n v="1646.79"/>
    <n v="1188.21"/>
    <x v="0"/>
    <x v="3"/>
  </r>
  <r>
    <x v="102"/>
    <d v="2026-04-29T00:00:00"/>
    <x v="0"/>
    <x v="5"/>
    <x v="10"/>
    <x v="4"/>
    <n v="3"/>
    <n v="190"/>
    <n v="0"/>
    <n v="0"/>
    <n v="570"/>
    <n v="288.57"/>
    <n v="281.43"/>
    <x v="0"/>
    <x v="0"/>
  </r>
  <r>
    <x v="103"/>
    <d v="2026-05-01T00:00:00"/>
    <x v="4"/>
    <x v="8"/>
    <x v="7"/>
    <x v="0"/>
    <n v="2"/>
    <n v="850"/>
    <n v="0"/>
    <n v="0"/>
    <n v="1700"/>
    <n v="763.14"/>
    <n v="936.86"/>
    <x v="2"/>
    <x v="4"/>
  </r>
  <r>
    <x v="104"/>
    <d v="2026-05-05T00:00:00"/>
    <x v="3"/>
    <x v="4"/>
    <x v="4"/>
    <x v="1"/>
    <n v="7"/>
    <n v="220"/>
    <n v="0"/>
    <n v="0"/>
    <n v="1540"/>
    <n v="785.52"/>
    <n v="754.48"/>
    <x v="0"/>
    <x v="2"/>
  </r>
  <r>
    <x v="105"/>
    <d v="2026-05-05T00:00:00"/>
    <x v="2"/>
    <x v="3"/>
    <x v="13"/>
    <x v="5"/>
    <n v="7"/>
    <n v="450"/>
    <n v="20"/>
    <n v="630"/>
    <n v="2520"/>
    <n v="1076.46"/>
    <n v="1443.54"/>
    <x v="2"/>
    <x v="3"/>
  </r>
  <r>
    <x v="106"/>
    <d v="2026-05-07T00:00:00"/>
    <x v="3"/>
    <x v="4"/>
    <x v="10"/>
    <x v="4"/>
    <n v="6"/>
    <n v="190"/>
    <n v="0"/>
    <n v="0"/>
    <n v="1140"/>
    <n v="550.49"/>
    <n v="589.51"/>
    <x v="0"/>
    <x v="1"/>
  </r>
  <r>
    <x v="107"/>
    <d v="2026-05-07T00:00:00"/>
    <x v="1"/>
    <x v="1"/>
    <x v="1"/>
    <x v="0"/>
    <n v="4"/>
    <n v="750"/>
    <n v="0"/>
    <n v="0"/>
    <n v="3000"/>
    <n v="1415.66"/>
    <n v="1584.34"/>
    <x v="1"/>
    <x v="4"/>
  </r>
  <r>
    <x v="108"/>
    <d v="2026-05-08T00:00:00"/>
    <x v="0"/>
    <x v="0"/>
    <x v="12"/>
    <x v="0"/>
    <n v="7"/>
    <n v="800"/>
    <n v="10"/>
    <n v="560"/>
    <n v="5040"/>
    <n v="2284.0300000000002"/>
    <n v="2755.97"/>
    <x v="0"/>
    <x v="2"/>
  </r>
  <r>
    <x v="109"/>
    <d v="2026-05-08T00:00:00"/>
    <x v="5"/>
    <x v="7"/>
    <x v="1"/>
    <x v="0"/>
    <n v="5"/>
    <n v="750"/>
    <n v="5"/>
    <n v="187.5"/>
    <n v="3562.5"/>
    <n v="1979.05"/>
    <n v="1583.45"/>
    <x v="2"/>
    <x v="0"/>
  </r>
  <r>
    <x v="110"/>
    <d v="2026-05-10T00:00:00"/>
    <x v="7"/>
    <x v="10"/>
    <x v="1"/>
    <x v="0"/>
    <n v="2"/>
    <n v="750"/>
    <n v="0"/>
    <n v="0"/>
    <n v="1500"/>
    <n v="760.53"/>
    <n v="739.47"/>
    <x v="2"/>
    <x v="2"/>
  </r>
  <r>
    <x v="111"/>
    <d v="2026-05-10T00:00:00"/>
    <x v="0"/>
    <x v="5"/>
    <x v="1"/>
    <x v="0"/>
    <n v="3"/>
    <n v="750"/>
    <n v="0"/>
    <n v="0"/>
    <n v="2250"/>
    <n v="968.76"/>
    <n v="1281.24"/>
    <x v="1"/>
    <x v="4"/>
  </r>
  <r>
    <x v="112"/>
    <d v="2026-05-12T00:00:00"/>
    <x v="7"/>
    <x v="10"/>
    <x v="1"/>
    <x v="0"/>
    <n v="5"/>
    <n v="750"/>
    <n v="10"/>
    <n v="375"/>
    <n v="3375"/>
    <n v="1597.71"/>
    <n v="1777.29"/>
    <x v="1"/>
    <x v="0"/>
  </r>
  <r>
    <x v="113"/>
    <d v="2026-05-13T00:00:00"/>
    <x v="6"/>
    <x v="9"/>
    <x v="18"/>
    <x v="4"/>
    <n v="7"/>
    <n v="140"/>
    <n v="10"/>
    <n v="98"/>
    <n v="882"/>
    <n v="410.52"/>
    <n v="471.48"/>
    <x v="0"/>
    <x v="4"/>
  </r>
  <r>
    <x v="114"/>
    <d v="2026-05-15T00:00:00"/>
    <x v="0"/>
    <x v="0"/>
    <x v="15"/>
    <x v="2"/>
    <n v="7"/>
    <n v="180"/>
    <n v="10"/>
    <n v="126"/>
    <n v="1134"/>
    <n v="662.07"/>
    <n v="471.93"/>
    <x v="1"/>
    <x v="1"/>
  </r>
  <r>
    <x v="115"/>
    <d v="2026-05-19T00:00:00"/>
    <x v="5"/>
    <x v="7"/>
    <x v="17"/>
    <x v="4"/>
    <n v="5"/>
    <n v="170"/>
    <n v="0"/>
    <n v="0"/>
    <n v="850"/>
    <n v="376.47"/>
    <n v="473.53"/>
    <x v="0"/>
    <x v="3"/>
  </r>
  <r>
    <x v="116"/>
    <d v="2026-05-20T00:00:00"/>
    <x v="5"/>
    <x v="7"/>
    <x v="3"/>
    <x v="0"/>
    <n v="1"/>
    <n v="900"/>
    <n v="0"/>
    <n v="0"/>
    <n v="900"/>
    <n v="504.16"/>
    <n v="395.84"/>
    <x v="2"/>
    <x v="4"/>
  </r>
  <r>
    <x v="117"/>
    <d v="2026-05-22T00:00:00"/>
    <x v="0"/>
    <x v="0"/>
    <x v="6"/>
    <x v="2"/>
    <n v="3"/>
    <n v="220"/>
    <n v="10"/>
    <n v="66"/>
    <n v="594"/>
    <n v="312.61"/>
    <n v="281.39"/>
    <x v="1"/>
    <x v="1"/>
  </r>
  <r>
    <x v="118"/>
    <d v="2026-05-22T00:00:00"/>
    <x v="0"/>
    <x v="0"/>
    <x v="13"/>
    <x v="5"/>
    <n v="7"/>
    <n v="450"/>
    <n v="0"/>
    <n v="0"/>
    <n v="3150"/>
    <n v="1606.27"/>
    <n v="1543.73"/>
    <x v="2"/>
    <x v="3"/>
  </r>
  <r>
    <x v="119"/>
    <d v="2026-05-23T00:00:00"/>
    <x v="5"/>
    <x v="7"/>
    <x v="13"/>
    <x v="5"/>
    <n v="5"/>
    <n v="450"/>
    <n v="5"/>
    <n v="112.5"/>
    <n v="2137.5"/>
    <n v="1281.3499999999999"/>
    <n v="856.15"/>
    <x v="1"/>
    <x v="0"/>
  </r>
  <r>
    <x v="120"/>
    <d v="2026-05-26T00:00:00"/>
    <x v="2"/>
    <x v="3"/>
    <x v="2"/>
    <x v="1"/>
    <n v="6"/>
    <n v="280"/>
    <n v="0"/>
    <n v="0"/>
    <n v="1680"/>
    <n v="1024.82"/>
    <n v="655.17999999999995"/>
    <x v="0"/>
    <x v="0"/>
  </r>
  <r>
    <x v="121"/>
    <d v="2026-05-27T00:00:00"/>
    <x v="6"/>
    <x v="9"/>
    <x v="1"/>
    <x v="0"/>
    <n v="2"/>
    <n v="750"/>
    <n v="10"/>
    <n v="150"/>
    <n v="1350"/>
    <n v="665.53"/>
    <n v="684.47"/>
    <x v="0"/>
    <x v="4"/>
  </r>
  <r>
    <x v="122"/>
    <d v="2026-05-28T00:00:00"/>
    <x v="1"/>
    <x v="2"/>
    <x v="10"/>
    <x v="4"/>
    <n v="7"/>
    <n v="190"/>
    <n v="20"/>
    <n v="266"/>
    <n v="1064"/>
    <n v="575.22"/>
    <n v="488.78"/>
    <x v="1"/>
    <x v="4"/>
  </r>
  <r>
    <x v="123"/>
    <d v="2026-05-29T00:00:00"/>
    <x v="3"/>
    <x v="4"/>
    <x v="13"/>
    <x v="5"/>
    <n v="5"/>
    <n v="450"/>
    <n v="15"/>
    <n v="337.5"/>
    <n v="1912.5"/>
    <n v="1042.5"/>
    <n v="870"/>
    <x v="1"/>
    <x v="3"/>
  </r>
  <r>
    <x v="124"/>
    <d v="2026-05-30T00:00:00"/>
    <x v="3"/>
    <x v="4"/>
    <x v="16"/>
    <x v="1"/>
    <n v="6"/>
    <n v="260"/>
    <n v="15"/>
    <n v="234"/>
    <n v="1326"/>
    <n v="592.6"/>
    <n v="733.4"/>
    <x v="0"/>
    <x v="0"/>
  </r>
  <r>
    <x v="125"/>
    <d v="2026-05-31T00:00:00"/>
    <x v="0"/>
    <x v="5"/>
    <x v="19"/>
    <x v="3"/>
    <n v="5"/>
    <n v="110"/>
    <n v="10"/>
    <n v="55"/>
    <n v="495"/>
    <n v="284.42"/>
    <n v="210.58"/>
    <x v="2"/>
    <x v="1"/>
  </r>
  <r>
    <x v="126"/>
    <d v="2026-06-01T00:00:00"/>
    <x v="5"/>
    <x v="7"/>
    <x v="16"/>
    <x v="1"/>
    <n v="1"/>
    <n v="260"/>
    <n v="15"/>
    <n v="39"/>
    <n v="221"/>
    <n v="96.55"/>
    <n v="124.45"/>
    <x v="2"/>
    <x v="4"/>
  </r>
  <r>
    <x v="127"/>
    <d v="2026-06-01T00:00:00"/>
    <x v="2"/>
    <x v="3"/>
    <x v="18"/>
    <x v="4"/>
    <n v="2"/>
    <n v="140"/>
    <n v="0"/>
    <n v="0"/>
    <n v="280"/>
    <n v="159.68"/>
    <n v="120.32"/>
    <x v="1"/>
    <x v="4"/>
  </r>
  <r>
    <x v="128"/>
    <d v="2026-06-03T00:00:00"/>
    <x v="1"/>
    <x v="1"/>
    <x v="9"/>
    <x v="3"/>
    <n v="1"/>
    <n v="100"/>
    <n v="0"/>
    <n v="0"/>
    <n v="100"/>
    <n v="47.84"/>
    <n v="52.16"/>
    <x v="0"/>
    <x v="0"/>
  </r>
  <r>
    <x v="129"/>
    <d v="2026-06-04T00:00:00"/>
    <x v="0"/>
    <x v="5"/>
    <x v="17"/>
    <x v="4"/>
    <n v="8"/>
    <n v="170"/>
    <n v="20"/>
    <n v="272"/>
    <n v="1088"/>
    <n v="548.44000000000005"/>
    <n v="539.55999999999995"/>
    <x v="2"/>
    <x v="2"/>
  </r>
  <r>
    <x v="130"/>
    <d v="2026-06-04T00:00:00"/>
    <x v="0"/>
    <x v="5"/>
    <x v="19"/>
    <x v="3"/>
    <n v="1"/>
    <n v="110"/>
    <n v="5"/>
    <n v="5.5"/>
    <n v="104.5"/>
    <n v="45.16"/>
    <n v="59.34"/>
    <x v="2"/>
    <x v="1"/>
  </r>
  <r>
    <x v="131"/>
    <d v="2026-06-07T00:00:00"/>
    <x v="6"/>
    <x v="9"/>
    <x v="8"/>
    <x v="3"/>
    <n v="4"/>
    <n v="90"/>
    <n v="10"/>
    <n v="36"/>
    <n v="324"/>
    <n v="178.47"/>
    <n v="145.53"/>
    <x v="2"/>
    <x v="2"/>
  </r>
  <r>
    <x v="132"/>
    <d v="2026-06-07T00:00:00"/>
    <x v="1"/>
    <x v="1"/>
    <x v="19"/>
    <x v="3"/>
    <n v="7"/>
    <n v="110"/>
    <n v="15"/>
    <n v="115.5"/>
    <n v="654.5"/>
    <n v="391.43"/>
    <n v="263.07"/>
    <x v="1"/>
    <x v="2"/>
  </r>
  <r>
    <x v="133"/>
    <d v="2026-06-08T00:00:00"/>
    <x v="7"/>
    <x v="10"/>
    <x v="18"/>
    <x v="4"/>
    <n v="1"/>
    <n v="140"/>
    <n v="20"/>
    <n v="28"/>
    <n v="112"/>
    <n v="57.21"/>
    <n v="54.79"/>
    <x v="0"/>
    <x v="1"/>
  </r>
  <r>
    <x v="134"/>
    <d v="2026-06-08T00:00:00"/>
    <x v="5"/>
    <x v="7"/>
    <x v="16"/>
    <x v="1"/>
    <n v="5"/>
    <n v="260"/>
    <n v="10"/>
    <n v="130"/>
    <n v="1170"/>
    <n v="675.66"/>
    <n v="494.34"/>
    <x v="0"/>
    <x v="4"/>
  </r>
  <r>
    <x v="135"/>
    <d v="2026-06-09T00:00:00"/>
    <x v="2"/>
    <x v="3"/>
    <x v="2"/>
    <x v="1"/>
    <n v="2"/>
    <n v="280"/>
    <n v="15"/>
    <n v="84"/>
    <n v="476"/>
    <n v="201.8"/>
    <n v="274.2"/>
    <x v="2"/>
    <x v="2"/>
  </r>
  <r>
    <x v="136"/>
    <d v="2026-06-11T00:00:00"/>
    <x v="0"/>
    <x v="0"/>
    <x v="13"/>
    <x v="5"/>
    <n v="1"/>
    <n v="450"/>
    <n v="0"/>
    <n v="0"/>
    <n v="450"/>
    <n v="197.14"/>
    <n v="252.86"/>
    <x v="2"/>
    <x v="2"/>
  </r>
  <r>
    <x v="137"/>
    <d v="2026-06-13T00:00:00"/>
    <x v="4"/>
    <x v="8"/>
    <x v="5"/>
    <x v="1"/>
    <n v="2"/>
    <n v="250"/>
    <n v="15"/>
    <n v="75"/>
    <n v="425"/>
    <n v="254.86"/>
    <n v="170.14"/>
    <x v="2"/>
    <x v="3"/>
  </r>
  <r>
    <x v="138"/>
    <d v="2026-06-13T00:00:00"/>
    <x v="0"/>
    <x v="0"/>
    <x v="12"/>
    <x v="0"/>
    <n v="6"/>
    <n v="800"/>
    <n v="10"/>
    <n v="480"/>
    <n v="4320"/>
    <n v="1910.04"/>
    <n v="2409.96"/>
    <x v="1"/>
    <x v="1"/>
  </r>
  <r>
    <x v="139"/>
    <d v="2026-06-13T00:00:00"/>
    <x v="1"/>
    <x v="2"/>
    <x v="15"/>
    <x v="2"/>
    <n v="3"/>
    <n v="180"/>
    <n v="20"/>
    <n v="108"/>
    <n v="432"/>
    <n v="198.94"/>
    <n v="233.06"/>
    <x v="2"/>
    <x v="0"/>
  </r>
  <r>
    <x v="140"/>
    <d v="2026-06-15T00:00:00"/>
    <x v="5"/>
    <x v="7"/>
    <x v="17"/>
    <x v="4"/>
    <n v="4"/>
    <n v="170"/>
    <n v="10"/>
    <n v="68"/>
    <n v="612"/>
    <n v="350.54"/>
    <n v="261.45999999999998"/>
    <x v="2"/>
    <x v="0"/>
  </r>
  <r>
    <x v="141"/>
    <d v="2026-06-15T00:00:00"/>
    <x v="2"/>
    <x v="3"/>
    <x v="14"/>
    <x v="2"/>
    <n v="7"/>
    <n v="200"/>
    <n v="15"/>
    <n v="210"/>
    <n v="1190"/>
    <n v="695.25"/>
    <n v="494.75"/>
    <x v="0"/>
    <x v="1"/>
  </r>
  <r>
    <x v="142"/>
    <d v="2026-06-16T00:00:00"/>
    <x v="5"/>
    <x v="7"/>
    <x v="6"/>
    <x v="2"/>
    <n v="4"/>
    <n v="220"/>
    <n v="10"/>
    <n v="88"/>
    <n v="792"/>
    <n v="396.01"/>
    <n v="395.99"/>
    <x v="2"/>
    <x v="2"/>
  </r>
  <r>
    <x v="143"/>
    <d v="2026-06-20T00:00:00"/>
    <x v="1"/>
    <x v="1"/>
    <x v="12"/>
    <x v="0"/>
    <n v="2"/>
    <n v="800"/>
    <n v="15"/>
    <n v="240"/>
    <n v="1360"/>
    <n v="602.66999999999996"/>
    <n v="757.33"/>
    <x v="0"/>
    <x v="2"/>
  </r>
  <r>
    <x v="144"/>
    <d v="2026-06-23T00:00:00"/>
    <x v="6"/>
    <x v="9"/>
    <x v="10"/>
    <x v="4"/>
    <n v="6"/>
    <n v="190"/>
    <n v="20"/>
    <n v="228"/>
    <n v="912"/>
    <n v="496.19"/>
    <n v="415.81"/>
    <x v="0"/>
    <x v="3"/>
  </r>
  <r>
    <x v="145"/>
    <d v="2026-06-24T00:00:00"/>
    <x v="0"/>
    <x v="0"/>
    <x v="14"/>
    <x v="2"/>
    <n v="4"/>
    <n v="200"/>
    <n v="5"/>
    <n v="40"/>
    <n v="760"/>
    <n v="471.01"/>
    <n v="288.99"/>
    <x v="0"/>
    <x v="3"/>
  </r>
  <r>
    <x v="146"/>
    <d v="2026-06-24T00:00:00"/>
    <x v="7"/>
    <x v="10"/>
    <x v="6"/>
    <x v="2"/>
    <n v="7"/>
    <n v="220"/>
    <n v="20"/>
    <n v="308"/>
    <n v="1232"/>
    <n v="614.67999999999995"/>
    <n v="617.32000000000005"/>
    <x v="0"/>
    <x v="1"/>
  </r>
  <r>
    <x v="147"/>
    <d v="2026-06-25T00:00:00"/>
    <x v="1"/>
    <x v="1"/>
    <x v="1"/>
    <x v="0"/>
    <n v="3"/>
    <n v="750"/>
    <n v="0"/>
    <n v="0"/>
    <n v="2250"/>
    <n v="1212.56"/>
    <n v="1037.44"/>
    <x v="1"/>
    <x v="3"/>
  </r>
  <r>
    <x v="148"/>
    <d v="2026-06-27T00:00:00"/>
    <x v="6"/>
    <x v="9"/>
    <x v="6"/>
    <x v="2"/>
    <n v="2"/>
    <n v="220"/>
    <n v="0"/>
    <n v="0"/>
    <n v="440"/>
    <n v="267.18"/>
    <n v="172.82"/>
    <x v="0"/>
    <x v="3"/>
  </r>
  <r>
    <x v="149"/>
    <d v="2026-06-28T00:00:00"/>
    <x v="2"/>
    <x v="3"/>
    <x v="17"/>
    <x v="4"/>
    <n v="8"/>
    <n v="170"/>
    <n v="10"/>
    <n v="136"/>
    <n v="1224"/>
    <n v="606.87"/>
    <n v="617.13"/>
    <x v="0"/>
    <x v="4"/>
  </r>
  <r>
    <x v="150"/>
    <d v="2026-06-30T00:00:00"/>
    <x v="1"/>
    <x v="1"/>
    <x v="14"/>
    <x v="2"/>
    <n v="1"/>
    <n v="200"/>
    <n v="20"/>
    <n v="40"/>
    <n v="160"/>
    <n v="93.67"/>
    <n v="66.33"/>
    <x v="2"/>
    <x v="0"/>
  </r>
  <r>
    <x v="151"/>
    <d v="2026-06-30T00:00:00"/>
    <x v="2"/>
    <x v="3"/>
    <x v="10"/>
    <x v="4"/>
    <n v="8"/>
    <n v="190"/>
    <n v="0"/>
    <n v="0"/>
    <n v="1520"/>
    <n v="837.05"/>
    <n v="682.95"/>
    <x v="1"/>
    <x v="2"/>
  </r>
  <r>
    <x v="152"/>
    <d v="2026-07-02T00:00:00"/>
    <x v="7"/>
    <x v="10"/>
    <x v="17"/>
    <x v="4"/>
    <n v="5"/>
    <n v="170"/>
    <n v="10"/>
    <n v="85"/>
    <n v="765"/>
    <n v="367.58"/>
    <n v="397.42"/>
    <x v="2"/>
    <x v="1"/>
  </r>
  <r>
    <x v="153"/>
    <d v="2026-07-02T00:00:00"/>
    <x v="1"/>
    <x v="1"/>
    <x v="9"/>
    <x v="3"/>
    <n v="7"/>
    <n v="100"/>
    <n v="0"/>
    <n v="0"/>
    <n v="700"/>
    <n v="387.5"/>
    <n v="312.5"/>
    <x v="1"/>
    <x v="1"/>
  </r>
  <r>
    <x v="154"/>
    <d v="2026-07-03T00:00:00"/>
    <x v="2"/>
    <x v="3"/>
    <x v="0"/>
    <x v="0"/>
    <n v="7"/>
    <n v="950"/>
    <n v="0"/>
    <n v="0"/>
    <n v="6650"/>
    <n v="3417.2"/>
    <n v="3232.8"/>
    <x v="2"/>
    <x v="1"/>
  </r>
  <r>
    <x v="155"/>
    <d v="2026-07-04T00:00:00"/>
    <x v="2"/>
    <x v="3"/>
    <x v="18"/>
    <x v="4"/>
    <n v="3"/>
    <n v="140"/>
    <n v="0"/>
    <n v="0"/>
    <n v="420"/>
    <n v="223.54"/>
    <n v="196.46"/>
    <x v="1"/>
    <x v="3"/>
  </r>
  <r>
    <x v="156"/>
    <d v="2026-07-05T00:00:00"/>
    <x v="3"/>
    <x v="4"/>
    <x v="11"/>
    <x v="4"/>
    <n v="1"/>
    <n v="160"/>
    <n v="10"/>
    <n v="16"/>
    <n v="144"/>
    <n v="76.42"/>
    <n v="67.58"/>
    <x v="1"/>
    <x v="3"/>
  </r>
  <r>
    <x v="157"/>
    <d v="2026-07-06T00:00:00"/>
    <x v="2"/>
    <x v="3"/>
    <x v="17"/>
    <x v="4"/>
    <n v="5"/>
    <n v="170"/>
    <n v="10"/>
    <n v="85"/>
    <n v="765"/>
    <n v="398.53"/>
    <n v="366.47"/>
    <x v="0"/>
    <x v="1"/>
  </r>
  <r>
    <x v="158"/>
    <d v="2026-07-07T00:00:00"/>
    <x v="4"/>
    <x v="8"/>
    <x v="18"/>
    <x v="4"/>
    <n v="3"/>
    <n v="140"/>
    <n v="10"/>
    <n v="42"/>
    <n v="378"/>
    <n v="212.09"/>
    <n v="165.91"/>
    <x v="0"/>
    <x v="3"/>
  </r>
  <r>
    <x v="159"/>
    <d v="2026-07-07T00:00:00"/>
    <x v="3"/>
    <x v="4"/>
    <x v="14"/>
    <x v="2"/>
    <n v="8"/>
    <n v="200"/>
    <n v="20"/>
    <n v="320"/>
    <n v="1280"/>
    <n v="789.65"/>
    <n v="490.35"/>
    <x v="2"/>
    <x v="2"/>
  </r>
  <r>
    <x v="160"/>
    <d v="2026-07-10T00:00:00"/>
    <x v="3"/>
    <x v="4"/>
    <x v="8"/>
    <x v="3"/>
    <n v="4"/>
    <n v="90"/>
    <n v="5"/>
    <n v="18"/>
    <n v="342"/>
    <n v="187.39"/>
    <n v="154.61000000000001"/>
    <x v="1"/>
    <x v="4"/>
  </r>
  <r>
    <x v="161"/>
    <d v="2026-07-10T00:00:00"/>
    <x v="6"/>
    <x v="9"/>
    <x v="4"/>
    <x v="1"/>
    <n v="5"/>
    <n v="220"/>
    <n v="20"/>
    <n v="220"/>
    <n v="880"/>
    <n v="388.01"/>
    <n v="491.99"/>
    <x v="2"/>
    <x v="3"/>
  </r>
  <r>
    <x v="162"/>
    <d v="2026-07-11T00:00:00"/>
    <x v="6"/>
    <x v="9"/>
    <x v="9"/>
    <x v="3"/>
    <n v="3"/>
    <n v="100"/>
    <n v="10"/>
    <n v="30"/>
    <n v="270"/>
    <n v="143.76"/>
    <n v="126.24"/>
    <x v="1"/>
    <x v="0"/>
  </r>
  <r>
    <x v="163"/>
    <d v="2026-07-12T00:00:00"/>
    <x v="1"/>
    <x v="1"/>
    <x v="12"/>
    <x v="0"/>
    <n v="3"/>
    <n v="800"/>
    <n v="20"/>
    <n v="480"/>
    <n v="1920"/>
    <n v="1158.28"/>
    <n v="761.72"/>
    <x v="0"/>
    <x v="1"/>
  </r>
  <r>
    <x v="164"/>
    <d v="2026-07-12T00:00:00"/>
    <x v="7"/>
    <x v="10"/>
    <x v="3"/>
    <x v="0"/>
    <n v="5"/>
    <n v="900"/>
    <n v="0"/>
    <n v="0"/>
    <n v="4500"/>
    <n v="2686.36"/>
    <n v="1813.64"/>
    <x v="1"/>
    <x v="0"/>
  </r>
  <r>
    <x v="165"/>
    <d v="2026-07-16T00:00:00"/>
    <x v="4"/>
    <x v="8"/>
    <x v="8"/>
    <x v="3"/>
    <n v="3"/>
    <n v="90"/>
    <n v="0"/>
    <n v="0"/>
    <n v="270"/>
    <n v="162.68"/>
    <n v="107.32"/>
    <x v="2"/>
    <x v="2"/>
  </r>
  <r>
    <x v="166"/>
    <d v="2026-07-18T00:00:00"/>
    <x v="7"/>
    <x v="10"/>
    <x v="4"/>
    <x v="1"/>
    <n v="7"/>
    <n v="220"/>
    <n v="20"/>
    <n v="308"/>
    <n v="1232"/>
    <n v="533.84"/>
    <n v="698.16"/>
    <x v="0"/>
    <x v="1"/>
  </r>
  <r>
    <x v="167"/>
    <d v="2026-07-20T00:00:00"/>
    <x v="4"/>
    <x v="6"/>
    <x v="7"/>
    <x v="0"/>
    <n v="3"/>
    <n v="850"/>
    <n v="0"/>
    <n v="0"/>
    <n v="2550"/>
    <n v="1142.53"/>
    <n v="1407.47"/>
    <x v="1"/>
    <x v="1"/>
  </r>
  <r>
    <x v="168"/>
    <d v="2026-07-20T00:00:00"/>
    <x v="1"/>
    <x v="2"/>
    <x v="1"/>
    <x v="0"/>
    <n v="1"/>
    <n v="750"/>
    <n v="0"/>
    <n v="0"/>
    <n v="750"/>
    <n v="463.56"/>
    <n v="286.44"/>
    <x v="2"/>
    <x v="2"/>
  </r>
  <r>
    <x v="169"/>
    <d v="2026-07-21T00:00:00"/>
    <x v="1"/>
    <x v="2"/>
    <x v="3"/>
    <x v="0"/>
    <n v="1"/>
    <n v="900"/>
    <n v="20"/>
    <n v="180"/>
    <n v="720"/>
    <n v="328.21"/>
    <n v="391.79"/>
    <x v="0"/>
    <x v="3"/>
  </r>
  <r>
    <x v="170"/>
    <d v="2026-07-21T00:00:00"/>
    <x v="0"/>
    <x v="0"/>
    <x v="16"/>
    <x v="1"/>
    <n v="7"/>
    <n v="260"/>
    <n v="0"/>
    <n v="0"/>
    <n v="1820"/>
    <n v="1100.6600000000001"/>
    <n v="719.34"/>
    <x v="0"/>
    <x v="3"/>
  </r>
  <r>
    <x v="171"/>
    <d v="2026-07-23T00:00:00"/>
    <x v="4"/>
    <x v="8"/>
    <x v="2"/>
    <x v="1"/>
    <n v="1"/>
    <n v="280"/>
    <n v="15"/>
    <n v="42"/>
    <n v="238"/>
    <n v="142.93"/>
    <n v="95.07"/>
    <x v="2"/>
    <x v="2"/>
  </r>
  <r>
    <x v="172"/>
    <d v="2026-07-23T00:00:00"/>
    <x v="7"/>
    <x v="10"/>
    <x v="11"/>
    <x v="4"/>
    <n v="2"/>
    <n v="160"/>
    <n v="15"/>
    <n v="48"/>
    <n v="272"/>
    <n v="121.94"/>
    <n v="150.06"/>
    <x v="0"/>
    <x v="2"/>
  </r>
  <r>
    <x v="173"/>
    <d v="2026-07-25T00:00:00"/>
    <x v="4"/>
    <x v="6"/>
    <x v="16"/>
    <x v="1"/>
    <n v="7"/>
    <n v="260"/>
    <n v="0"/>
    <n v="0"/>
    <n v="1820"/>
    <n v="804.13"/>
    <n v="1015.87"/>
    <x v="2"/>
    <x v="3"/>
  </r>
  <r>
    <x v="174"/>
    <d v="2026-07-25T00:00:00"/>
    <x v="5"/>
    <x v="7"/>
    <x v="3"/>
    <x v="0"/>
    <n v="8"/>
    <n v="900"/>
    <n v="0"/>
    <n v="0"/>
    <n v="7200"/>
    <n v="3192.63"/>
    <n v="4007.37"/>
    <x v="1"/>
    <x v="3"/>
  </r>
  <r>
    <x v="175"/>
    <d v="2026-07-26T00:00:00"/>
    <x v="6"/>
    <x v="9"/>
    <x v="4"/>
    <x v="1"/>
    <n v="3"/>
    <n v="220"/>
    <n v="5"/>
    <n v="33"/>
    <n v="627"/>
    <n v="314.11"/>
    <n v="312.89"/>
    <x v="2"/>
    <x v="3"/>
  </r>
  <r>
    <x v="176"/>
    <d v="2026-07-27T00:00:00"/>
    <x v="1"/>
    <x v="2"/>
    <x v="17"/>
    <x v="4"/>
    <n v="2"/>
    <n v="170"/>
    <n v="15"/>
    <n v="51"/>
    <n v="289"/>
    <n v="132.84"/>
    <n v="156.16"/>
    <x v="2"/>
    <x v="3"/>
  </r>
  <r>
    <x v="177"/>
    <d v="2026-07-29T00:00:00"/>
    <x v="6"/>
    <x v="9"/>
    <x v="8"/>
    <x v="3"/>
    <n v="3"/>
    <n v="90"/>
    <n v="10"/>
    <n v="27"/>
    <n v="243"/>
    <n v="102.42"/>
    <n v="140.58000000000001"/>
    <x v="1"/>
    <x v="0"/>
  </r>
  <r>
    <x v="178"/>
    <d v="2026-07-31T00:00:00"/>
    <x v="0"/>
    <x v="5"/>
    <x v="0"/>
    <x v="0"/>
    <n v="1"/>
    <n v="950"/>
    <n v="15"/>
    <n v="142.5"/>
    <n v="807.5"/>
    <n v="348.12"/>
    <n v="459.38"/>
    <x v="1"/>
    <x v="1"/>
  </r>
  <r>
    <x v="179"/>
    <d v="2026-08-01T00:00:00"/>
    <x v="3"/>
    <x v="4"/>
    <x v="13"/>
    <x v="5"/>
    <n v="4"/>
    <n v="450"/>
    <n v="20"/>
    <n v="360"/>
    <n v="1440"/>
    <n v="738.71"/>
    <n v="701.29"/>
    <x v="2"/>
    <x v="0"/>
  </r>
  <r>
    <x v="180"/>
    <d v="2026-08-04T00:00:00"/>
    <x v="6"/>
    <x v="9"/>
    <x v="18"/>
    <x v="4"/>
    <n v="3"/>
    <n v="140"/>
    <n v="0"/>
    <n v="0"/>
    <n v="420"/>
    <n v="239.13"/>
    <n v="180.87"/>
    <x v="1"/>
    <x v="2"/>
  </r>
  <r>
    <x v="181"/>
    <d v="2026-08-06T00:00:00"/>
    <x v="6"/>
    <x v="9"/>
    <x v="6"/>
    <x v="2"/>
    <n v="4"/>
    <n v="220"/>
    <n v="10"/>
    <n v="88"/>
    <n v="792"/>
    <n v="446.65"/>
    <n v="345.35"/>
    <x v="0"/>
    <x v="2"/>
  </r>
  <r>
    <x v="182"/>
    <d v="2026-08-09T00:00:00"/>
    <x v="0"/>
    <x v="5"/>
    <x v="13"/>
    <x v="5"/>
    <n v="3"/>
    <n v="450"/>
    <n v="10"/>
    <n v="135"/>
    <n v="1215"/>
    <n v="574.91"/>
    <n v="640.09"/>
    <x v="2"/>
    <x v="1"/>
  </r>
  <r>
    <x v="183"/>
    <d v="2026-08-13T00:00:00"/>
    <x v="3"/>
    <x v="4"/>
    <x v="1"/>
    <x v="0"/>
    <n v="3"/>
    <n v="750"/>
    <n v="20"/>
    <n v="450"/>
    <n v="1800"/>
    <n v="880.87"/>
    <n v="919.13"/>
    <x v="0"/>
    <x v="1"/>
  </r>
  <r>
    <x v="184"/>
    <d v="2026-08-13T00:00:00"/>
    <x v="1"/>
    <x v="1"/>
    <x v="14"/>
    <x v="2"/>
    <n v="3"/>
    <n v="200"/>
    <n v="0"/>
    <n v="0"/>
    <n v="600"/>
    <n v="362.52"/>
    <n v="237.48"/>
    <x v="1"/>
    <x v="1"/>
  </r>
  <r>
    <x v="185"/>
    <d v="2026-08-15T00:00:00"/>
    <x v="6"/>
    <x v="9"/>
    <x v="14"/>
    <x v="2"/>
    <n v="2"/>
    <n v="200"/>
    <n v="10"/>
    <n v="40"/>
    <n v="360"/>
    <n v="184.38"/>
    <n v="175.62"/>
    <x v="2"/>
    <x v="4"/>
  </r>
  <r>
    <x v="186"/>
    <d v="2026-08-16T00:00:00"/>
    <x v="2"/>
    <x v="3"/>
    <x v="18"/>
    <x v="4"/>
    <n v="2"/>
    <n v="140"/>
    <n v="15"/>
    <n v="42"/>
    <n v="238"/>
    <n v="115.3"/>
    <n v="122.7"/>
    <x v="2"/>
    <x v="3"/>
  </r>
  <r>
    <x v="187"/>
    <d v="2026-08-17T00:00:00"/>
    <x v="2"/>
    <x v="3"/>
    <x v="16"/>
    <x v="1"/>
    <n v="4"/>
    <n v="260"/>
    <n v="0"/>
    <n v="0"/>
    <n v="1040"/>
    <n v="542.54"/>
    <n v="497.46"/>
    <x v="2"/>
    <x v="2"/>
  </r>
  <r>
    <x v="188"/>
    <d v="2026-08-17T00:00:00"/>
    <x v="5"/>
    <x v="7"/>
    <x v="18"/>
    <x v="4"/>
    <n v="4"/>
    <n v="140"/>
    <n v="0"/>
    <n v="0"/>
    <n v="560"/>
    <n v="334.84"/>
    <n v="225.16"/>
    <x v="0"/>
    <x v="3"/>
  </r>
  <r>
    <x v="189"/>
    <d v="2026-08-19T00:00:00"/>
    <x v="1"/>
    <x v="2"/>
    <x v="13"/>
    <x v="5"/>
    <n v="2"/>
    <n v="450"/>
    <n v="0"/>
    <n v="0"/>
    <n v="900"/>
    <n v="432.85"/>
    <n v="467.15"/>
    <x v="0"/>
    <x v="3"/>
  </r>
  <r>
    <x v="190"/>
    <d v="2026-08-20T00:00:00"/>
    <x v="3"/>
    <x v="4"/>
    <x v="18"/>
    <x v="4"/>
    <n v="1"/>
    <n v="140"/>
    <n v="10"/>
    <n v="14"/>
    <n v="126"/>
    <n v="69.989999999999995"/>
    <n v="56.01"/>
    <x v="1"/>
    <x v="0"/>
  </r>
  <r>
    <x v="191"/>
    <d v="2026-08-22T00:00:00"/>
    <x v="7"/>
    <x v="10"/>
    <x v="10"/>
    <x v="4"/>
    <n v="3"/>
    <n v="190"/>
    <n v="20"/>
    <n v="114"/>
    <n v="456"/>
    <n v="193.79"/>
    <n v="262.20999999999998"/>
    <x v="0"/>
    <x v="3"/>
  </r>
  <r>
    <x v="192"/>
    <d v="2026-08-24T00:00:00"/>
    <x v="3"/>
    <x v="4"/>
    <x v="18"/>
    <x v="4"/>
    <n v="3"/>
    <n v="140"/>
    <n v="10"/>
    <n v="42"/>
    <n v="378"/>
    <n v="192.2"/>
    <n v="185.8"/>
    <x v="1"/>
    <x v="2"/>
  </r>
  <r>
    <x v="193"/>
    <d v="2026-08-24T00:00:00"/>
    <x v="1"/>
    <x v="2"/>
    <x v="2"/>
    <x v="1"/>
    <n v="7"/>
    <n v="280"/>
    <n v="20"/>
    <n v="392"/>
    <n v="1568"/>
    <n v="900.69"/>
    <n v="667.31"/>
    <x v="2"/>
    <x v="2"/>
  </r>
  <r>
    <x v="194"/>
    <d v="2026-08-24T00:00:00"/>
    <x v="2"/>
    <x v="3"/>
    <x v="8"/>
    <x v="3"/>
    <n v="6"/>
    <n v="90"/>
    <n v="15"/>
    <n v="81"/>
    <n v="459"/>
    <n v="224.59"/>
    <n v="234.41"/>
    <x v="1"/>
    <x v="4"/>
  </r>
  <r>
    <x v="195"/>
    <d v="2026-08-24T00:00:00"/>
    <x v="1"/>
    <x v="1"/>
    <x v="11"/>
    <x v="4"/>
    <n v="4"/>
    <n v="160"/>
    <n v="10"/>
    <n v="64"/>
    <n v="576"/>
    <n v="355.35"/>
    <n v="220.65"/>
    <x v="0"/>
    <x v="2"/>
  </r>
  <r>
    <x v="196"/>
    <d v="2026-08-29T00:00:00"/>
    <x v="6"/>
    <x v="9"/>
    <x v="1"/>
    <x v="0"/>
    <n v="7"/>
    <n v="750"/>
    <n v="0"/>
    <n v="0"/>
    <n v="5250"/>
    <n v="2983.7"/>
    <n v="2266.3000000000002"/>
    <x v="0"/>
    <x v="2"/>
  </r>
  <r>
    <x v="197"/>
    <d v="2026-08-30T00:00:00"/>
    <x v="3"/>
    <x v="4"/>
    <x v="2"/>
    <x v="1"/>
    <n v="1"/>
    <n v="280"/>
    <n v="0"/>
    <n v="0"/>
    <n v="280"/>
    <n v="146.52000000000001"/>
    <n v="133.47999999999999"/>
    <x v="1"/>
    <x v="3"/>
  </r>
  <r>
    <x v="198"/>
    <d v="2026-08-31T00:00:00"/>
    <x v="0"/>
    <x v="5"/>
    <x v="15"/>
    <x v="2"/>
    <n v="3"/>
    <n v="180"/>
    <n v="15"/>
    <n v="81"/>
    <n v="459"/>
    <n v="281.99"/>
    <n v="177.01"/>
    <x v="0"/>
    <x v="4"/>
  </r>
  <r>
    <x v="199"/>
    <d v="2026-08-31T00:00:00"/>
    <x v="7"/>
    <x v="10"/>
    <x v="7"/>
    <x v="0"/>
    <n v="6"/>
    <n v="850"/>
    <n v="15"/>
    <n v="765"/>
    <n v="4335"/>
    <n v="2481.87"/>
    <n v="1853.13"/>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9BD84E-4C5A-4251-84E5-957836EBF87D}"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G18:K25" firstHeaderRow="1" firstDataRow="2" firstDataCol="1"/>
  <pivotFields count="15">
    <pivotField showAll="0"/>
    <pivotField numFmtId="164" showAll="0"/>
    <pivotField showAll="0"/>
    <pivotField showAll="0"/>
    <pivotField showAll="0"/>
    <pivotField showAll="0">
      <items count="7">
        <item x="2"/>
        <item x="0"/>
        <item x="3"/>
        <item x="1"/>
        <item x="4"/>
        <item x="5"/>
        <item t="default"/>
      </items>
    </pivotField>
    <pivotField showAll="0"/>
    <pivotField numFmtId="4" showAll="0"/>
    <pivotField numFmtId="165" showAll="0"/>
    <pivotField numFmtId="4" showAll="0"/>
    <pivotField dataField="1" numFmtId="4" showAll="0"/>
    <pivotField numFmtId="4" showAll="0"/>
    <pivotField numFmtId="4" showAll="0"/>
    <pivotField axis="axisCol" showAll="0">
      <items count="4">
        <item x="2"/>
        <item x="0"/>
        <item x="1"/>
        <item t="default"/>
      </items>
    </pivotField>
    <pivotField axis="axisRow" showAll="0">
      <items count="6">
        <item x="3"/>
        <item x="1"/>
        <item x="0"/>
        <item x="4"/>
        <item x="2"/>
        <item t="default"/>
      </items>
    </pivotField>
  </pivotFields>
  <rowFields count="1">
    <field x="14"/>
  </rowFields>
  <rowItems count="6">
    <i>
      <x/>
    </i>
    <i>
      <x v="1"/>
    </i>
    <i>
      <x v="2"/>
    </i>
    <i>
      <x v="3"/>
    </i>
    <i>
      <x v="4"/>
    </i>
    <i t="grand">
      <x/>
    </i>
  </rowItems>
  <colFields count="1">
    <field x="13"/>
  </colFields>
  <colItems count="4">
    <i>
      <x/>
    </i>
    <i>
      <x v="1"/>
    </i>
    <i>
      <x v="2"/>
    </i>
    <i t="grand">
      <x/>
    </i>
  </colItems>
  <dataFields count="1">
    <dataField name="Sum of Net Sales" fld="10" baseField="0" baseItem="0"/>
  </dataFields>
  <chartFormats count="18">
    <chartFormat chart="1" format="3" series="1">
      <pivotArea type="data" outline="0" fieldPosition="0">
        <references count="2">
          <reference field="4294967294" count="1" selected="0">
            <x v="0"/>
          </reference>
          <reference field="13" count="1" selected="0">
            <x v="0"/>
          </reference>
        </references>
      </pivotArea>
    </chartFormat>
    <chartFormat chart="1" format="4">
      <pivotArea type="data" outline="0" fieldPosition="0">
        <references count="3">
          <reference field="4294967294" count="1" selected="0">
            <x v="0"/>
          </reference>
          <reference field="13" count="1" selected="0">
            <x v="0"/>
          </reference>
          <reference field="14" count="1" selected="0">
            <x v="0"/>
          </reference>
        </references>
      </pivotArea>
    </chartFormat>
    <chartFormat chart="1" format="5">
      <pivotArea type="data" outline="0" fieldPosition="0">
        <references count="3">
          <reference field="4294967294" count="1" selected="0">
            <x v="0"/>
          </reference>
          <reference field="13" count="1" selected="0">
            <x v="0"/>
          </reference>
          <reference field="14" count="1" selected="0">
            <x v="1"/>
          </reference>
        </references>
      </pivotArea>
    </chartFormat>
    <chartFormat chart="1" format="6">
      <pivotArea type="data" outline="0" fieldPosition="0">
        <references count="3">
          <reference field="4294967294" count="1" selected="0">
            <x v="0"/>
          </reference>
          <reference field="13" count="1" selected="0">
            <x v="0"/>
          </reference>
          <reference field="14" count="1" selected="0">
            <x v="2"/>
          </reference>
        </references>
      </pivotArea>
    </chartFormat>
    <chartFormat chart="1" format="7">
      <pivotArea type="data" outline="0" fieldPosition="0">
        <references count="3">
          <reference field="4294967294" count="1" selected="0">
            <x v="0"/>
          </reference>
          <reference field="13" count="1" selected="0">
            <x v="0"/>
          </reference>
          <reference field="14" count="1" selected="0">
            <x v="3"/>
          </reference>
        </references>
      </pivotArea>
    </chartFormat>
    <chartFormat chart="1" format="8">
      <pivotArea type="data" outline="0" fieldPosition="0">
        <references count="3">
          <reference field="4294967294" count="1" selected="0">
            <x v="0"/>
          </reference>
          <reference field="13" count="1" selected="0">
            <x v="0"/>
          </reference>
          <reference field="14" count="1" selected="0">
            <x v="4"/>
          </reference>
        </references>
      </pivotArea>
    </chartFormat>
    <chartFormat chart="1" format="9" series="1">
      <pivotArea type="data" outline="0" fieldPosition="0">
        <references count="2">
          <reference field="4294967294" count="1" selected="0">
            <x v="0"/>
          </reference>
          <reference field="13" count="1" selected="0">
            <x v="1"/>
          </reference>
        </references>
      </pivotArea>
    </chartFormat>
    <chartFormat chart="1" format="10">
      <pivotArea type="data" outline="0" fieldPosition="0">
        <references count="3">
          <reference field="4294967294" count="1" selected="0">
            <x v="0"/>
          </reference>
          <reference field="13" count="1" selected="0">
            <x v="1"/>
          </reference>
          <reference field="14" count="1" selected="0">
            <x v="0"/>
          </reference>
        </references>
      </pivotArea>
    </chartFormat>
    <chartFormat chart="1" format="11">
      <pivotArea type="data" outline="0" fieldPosition="0">
        <references count="3">
          <reference field="4294967294" count="1" selected="0">
            <x v="0"/>
          </reference>
          <reference field="13" count="1" selected="0">
            <x v="1"/>
          </reference>
          <reference field="14" count="1" selected="0">
            <x v="1"/>
          </reference>
        </references>
      </pivotArea>
    </chartFormat>
    <chartFormat chart="1" format="12">
      <pivotArea type="data" outline="0" fieldPosition="0">
        <references count="3">
          <reference field="4294967294" count="1" selected="0">
            <x v="0"/>
          </reference>
          <reference field="13" count="1" selected="0">
            <x v="1"/>
          </reference>
          <reference field="14" count="1" selected="0">
            <x v="2"/>
          </reference>
        </references>
      </pivotArea>
    </chartFormat>
    <chartFormat chart="1" format="13">
      <pivotArea type="data" outline="0" fieldPosition="0">
        <references count="3">
          <reference field="4294967294" count="1" selected="0">
            <x v="0"/>
          </reference>
          <reference field="13" count="1" selected="0">
            <x v="1"/>
          </reference>
          <reference field="14" count="1" selected="0">
            <x v="3"/>
          </reference>
        </references>
      </pivotArea>
    </chartFormat>
    <chartFormat chart="1" format="14">
      <pivotArea type="data" outline="0" fieldPosition="0">
        <references count="3">
          <reference field="4294967294" count="1" selected="0">
            <x v="0"/>
          </reference>
          <reference field="13" count="1" selected="0">
            <x v="1"/>
          </reference>
          <reference field="14" count="1" selected="0">
            <x v="4"/>
          </reference>
        </references>
      </pivotArea>
    </chartFormat>
    <chartFormat chart="1" format="15" series="1">
      <pivotArea type="data" outline="0" fieldPosition="0">
        <references count="2">
          <reference field="4294967294" count="1" selected="0">
            <x v="0"/>
          </reference>
          <reference field="13" count="1" selected="0">
            <x v="2"/>
          </reference>
        </references>
      </pivotArea>
    </chartFormat>
    <chartFormat chart="1" format="16">
      <pivotArea type="data" outline="0" fieldPosition="0">
        <references count="3">
          <reference field="4294967294" count="1" selected="0">
            <x v="0"/>
          </reference>
          <reference field="13" count="1" selected="0">
            <x v="2"/>
          </reference>
          <reference field="14" count="1" selected="0">
            <x v="0"/>
          </reference>
        </references>
      </pivotArea>
    </chartFormat>
    <chartFormat chart="1" format="17">
      <pivotArea type="data" outline="0" fieldPosition="0">
        <references count="3">
          <reference field="4294967294" count="1" selected="0">
            <x v="0"/>
          </reference>
          <reference field="13" count="1" selected="0">
            <x v="2"/>
          </reference>
          <reference field="14" count="1" selected="0">
            <x v="1"/>
          </reference>
        </references>
      </pivotArea>
    </chartFormat>
    <chartFormat chart="1" format="18">
      <pivotArea type="data" outline="0" fieldPosition="0">
        <references count="3">
          <reference field="4294967294" count="1" selected="0">
            <x v="0"/>
          </reference>
          <reference field="13" count="1" selected="0">
            <x v="2"/>
          </reference>
          <reference field="14" count="1" selected="0">
            <x v="2"/>
          </reference>
        </references>
      </pivotArea>
    </chartFormat>
    <chartFormat chart="1" format="19">
      <pivotArea type="data" outline="0" fieldPosition="0">
        <references count="3">
          <reference field="4294967294" count="1" selected="0">
            <x v="0"/>
          </reference>
          <reference field="13" count="1" selected="0">
            <x v="2"/>
          </reference>
          <reference field="14" count="1" selected="0">
            <x v="3"/>
          </reference>
        </references>
      </pivotArea>
    </chartFormat>
    <chartFormat chart="1" format="20">
      <pivotArea type="data" outline="0" fieldPosition="0">
        <references count="3">
          <reference field="4294967294" count="1" selected="0">
            <x v="0"/>
          </reference>
          <reference field="13" count="1" selected="0">
            <x v="2"/>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6A03CB-281B-45ED-B74D-4F80CE366561}"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rowHeaderCaption="Stores">
  <location ref="A47:C59" firstHeaderRow="0" firstDataRow="1" firstDataCol="1"/>
  <pivotFields count="15">
    <pivotField showAll="0"/>
    <pivotField numFmtId="164" showAll="0"/>
    <pivotField showAll="0">
      <items count="9">
        <item x="4"/>
        <item x="6"/>
        <item x="5"/>
        <item x="0"/>
        <item x="3"/>
        <item x="7"/>
        <item x="1"/>
        <item x="2"/>
        <item t="default"/>
      </items>
    </pivotField>
    <pivotField axis="axisRow" showAll="0">
      <items count="12">
        <item x="1"/>
        <item x="3"/>
        <item x="8"/>
        <item x="5"/>
        <item x="10"/>
        <item x="9"/>
        <item x="7"/>
        <item x="6"/>
        <item x="0"/>
        <item x="4"/>
        <item x="2"/>
        <item t="default"/>
      </items>
    </pivotField>
    <pivotField showAll="0"/>
    <pivotField showAll="0"/>
    <pivotField showAll="0"/>
    <pivotField numFmtId="4" showAll="0"/>
    <pivotField numFmtId="165" showAll="0"/>
    <pivotField numFmtId="4" showAll="0"/>
    <pivotField dataField="1" numFmtId="4" showAll="0"/>
    <pivotField numFmtId="4" showAll="0"/>
    <pivotField dataField="1" numFmtId="4" showAll="0"/>
    <pivotField showAll="0"/>
    <pivotField showAll="0"/>
  </pivotFields>
  <rowFields count="1">
    <field x="3"/>
  </rowFields>
  <rowItems count="12">
    <i>
      <x/>
    </i>
    <i>
      <x v="1"/>
    </i>
    <i>
      <x v="2"/>
    </i>
    <i>
      <x v="3"/>
    </i>
    <i>
      <x v="4"/>
    </i>
    <i>
      <x v="5"/>
    </i>
    <i>
      <x v="6"/>
    </i>
    <i>
      <x v="7"/>
    </i>
    <i>
      <x v="8"/>
    </i>
    <i>
      <x v="9"/>
    </i>
    <i>
      <x v="10"/>
    </i>
    <i t="grand">
      <x/>
    </i>
  </rowItems>
  <colFields count="1">
    <field x="-2"/>
  </colFields>
  <colItems count="2">
    <i>
      <x/>
    </i>
    <i i="1">
      <x v="1"/>
    </i>
  </colItems>
  <dataFields count="2">
    <dataField name="Sum of Profit" fld="12" baseField="0" baseItem="0"/>
    <dataField name="Sum of Net Sales" fld="10" baseField="0" baseItem="0"/>
  </dataFields>
  <chartFormats count="24">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3" count="1" selected="0">
            <x v="0"/>
          </reference>
        </references>
      </pivotArea>
    </chartFormat>
    <chartFormat chart="1" format="4">
      <pivotArea type="data" outline="0" fieldPosition="0">
        <references count="2">
          <reference field="4294967294" count="1" selected="0">
            <x v="0"/>
          </reference>
          <reference field="3" count="1" selected="0">
            <x v="1"/>
          </reference>
        </references>
      </pivotArea>
    </chartFormat>
    <chartFormat chart="1" format="5">
      <pivotArea type="data" outline="0" fieldPosition="0">
        <references count="2">
          <reference field="4294967294" count="1" selected="0">
            <x v="0"/>
          </reference>
          <reference field="3" count="1" selected="0">
            <x v="2"/>
          </reference>
        </references>
      </pivotArea>
    </chartFormat>
    <chartFormat chart="1" format="6">
      <pivotArea type="data" outline="0" fieldPosition="0">
        <references count="2">
          <reference field="4294967294" count="1" selected="0">
            <x v="0"/>
          </reference>
          <reference field="3" count="1" selected="0">
            <x v="3"/>
          </reference>
        </references>
      </pivotArea>
    </chartFormat>
    <chartFormat chart="1" format="7">
      <pivotArea type="data" outline="0" fieldPosition="0">
        <references count="2">
          <reference field="4294967294" count="1" selected="0">
            <x v="0"/>
          </reference>
          <reference field="3" count="1" selected="0">
            <x v="4"/>
          </reference>
        </references>
      </pivotArea>
    </chartFormat>
    <chartFormat chart="1" format="8">
      <pivotArea type="data" outline="0" fieldPosition="0">
        <references count="2">
          <reference field="4294967294" count="1" selected="0">
            <x v="0"/>
          </reference>
          <reference field="3" count="1" selected="0">
            <x v="5"/>
          </reference>
        </references>
      </pivotArea>
    </chartFormat>
    <chartFormat chart="1" format="9">
      <pivotArea type="data" outline="0" fieldPosition="0">
        <references count="2">
          <reference field="4294967294" count="1" selected="0">
            <x v="0"/>
          </reference>
          <reference field="3" count="1" selected="0">
            <x v="6"/>
          </reference>
        </references>
      </pivotArea>
    </chartFormat>
    <chartFormat chart="1" format="10">
      <pivotArea type="data" outline="0" fieldPosition="0">
        <references count="2">
          <reference field="4294967294" count="1" selected="0">
            <x v="0"/>
          </reference>
          <reference field="3" count="1" selected="0">
            <x v="7"/>
          </reference>
        </references>
      </pivotArea>
    </chartFormat>
    <chartFormat chart="1" format="11">
      <pivotArea type="data" outline="0" fieldPosition="0">
        <references count="2">
          <reference field="4294967294" count="1" selected="0">
            <x v="0"/>
          </reference>
          <reference field="3" count="1" selected="0">
            <x v="8"/>
          </reference>
        </references>
      </pivotArea>
    </chartFormat>
    <chartFormat chart="1" format="12">
      <pivotArea type="data" outline="0" fieldPosition="0">
        <references count="2">
          <reference field="4294967294" count="1" selected="0">
            <x v="0"/>
          </reference>
          <reference field="3" count="1" selected="0">
            <x v="9"/>
          </reference>
        </references>
      </pivotArea>
    </chartFormat>
    <chartFormat chart="1" format="13">
      <pivotArea type="data" outline="0" fieldPosition="0">
        <references count="2">
          <reference field="4294967294" count="1" selected="0">
            <x v="0"/>
          </reference>
          <reference field="3" count="1" selected="0">
            <x v="10"/>
          </reference>
        </references>
      </pivotArea>
    </chartFormat>
    <chartFormat chart="1" format="14" series="1">
      <pivotArea type="data" outline="0" fieldPosition="0">
        <references count="1">
          <reference field="4294967294" count="1" selected="0">
            <x v="1"/>
          </reference>
        </references>
      </pivotArea>
    </chartFormat>
    <chartFormat chart="1" format="15">
      <pivotArea type="data" outline="0" fieldPosition="0">
        <references count="2">
          <reference field="4294967294" count="1" selected="0">
            <x v="1"/>
          </reference>
          <reference field="3" count="1" selected="0">
            <x v="0"/>
          </reference>
        </references>
      </pivotArea>
    </chartFormat>
    <chartFormat chart="1" format="16">
      <pivotArea type="data" outline="0" fieldPosition="0">
        <references count="2">
          <reference field="4294967294" count="1" selected="0">
            <x v="1"/>
          </reference>
          <reference field="3" count="1" selected="0">
            <x v="1"/>
          </reference>
        </references>
      </pivotArea>
    </chartFormat>
    <chartFormat chart="1" format="17">
      <pivotArea type="data" outline="0" fieldPosition="0">
        <references count="2">
          <reference field="4294967294" count="1" selected="0">
            <x v="1"/>
          </reference>
          <reference field="3" count="1" selected="0">
            <x v="2"/>
          </reference>
        </references>
      </pivotArea>
    </chartFormat>
    <chartFormat chart="1" format="18">
      <pivotArea type="data" outline="0" fieldPosition="0">
        <references count="2">
          <reference field="4294967294" count="1" selected="0">
            <x v="1"/>
          </reference>
          <reference field="3" count="1" selected="0">
            <x v="3"/>
          </reference>
        </references>
      </pivotArea>
    </chartFormat>
    <chartFormat chart="1" format="19">
      <pivotArea type="data" outline="0" fieldPosition="0">
        <references count="2">
          <reference field="4294967294" count="1" selected="0">
            <x v="1"/>
          </reference>
          <reference field="3" count="1" selected="0">
            <x v="4"/>
          </reference>
        </references>
      </pivotArea>
    </chartFormat>
    <chartFormat chart="1" format="20">
      <pivotArea type="data" outline="0" fieldPosition="0">
        <references count="2">
          <reference field="4294967294" count="1" selected="0">
            <x v="1"/>
          </reference>
          <reference field="3" count="1" selected="0">
            <x v="5"/>
          </reference>
        </references>
      </pivotArea>
    </chartFormat>
    <chartFormat chart="1" format="21">
      <pivotArea type="data" outline="0" fieldPosition="0">
        <references count="2">
          <reference field="4294967294" count="1" selected="0">
            <x v="1"/>
          </reference>
          <reference field="3" count="1" selected="0">
            <x v="6"/>
          </reference>
        </references>
      </pivotArea>
    </chartFormat>
    <chartFormat chart="1" format="22">
      <pivotArea type="data" outline="0" fieldPosition="0">
        <references count="2">
          <reference field="4294967294" count="1" selected="0">
            <x v="1"/>
          </reference>
          <reference field="3" count="1" selected="0">
            <x v="7"/>
          </reference>
        </references>
      </pivotArea>
    </chartFormat>
    <chartFormat chart="1" format="23">
      <pivotArea type="data" outline="0" fieldPosition="0">
        <references count="2">
          <reference field="4294967294" count="1" selected="0">
            <x v="1"/>
          </reference>
          <reference field="3" count="1" selected="0">
            <x v="8"/>
          </reference>
        </references>
      </pivotArea>
    </chartFormat>
    <chartFormat chart="1" format="24">
      <pivotArea type="data" outline="0" fieldPosition="0">
        <references count="2">
          <reference field="4294967294" count="1" selected="0">
            <x v="1"/>
          </reference>
          <reference field="3" count="1" selected="0">
            <x v="9"/>
          </reference>
        </references>
      </pivotArea>
    </chartFormat>
    <chartFormat chart="1" format="25">
      <pivotArea type="data" outline="0" fieldPosition="0">
        <references count="2">
          <reference field="4294967294" count="1" selected="0">
            <x v="1"/>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959D36-200D-49C8-A3B4-F3C2B9BB52D4}"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rowHeaderCaption="Payment Mode">
  <location ref="A18:E25" firstHeaderRow="1" firstDataRow="2" firstDataCol="1"/>
  <pivotFields count="15">
    <pivotField dataField="1" showAll="0"/>
    <pivotField numFmtId="164" showAll="0"/>
    <pivotField showAll="0"/>
    <pivotField showAll="0"/>
    <pivotField showAll="0"/>
    <pivotField showAll="0">
      <items count="7">
        <item x="2"/>
        <item x="0"/>
        <item x="3"/>
        <item x="1"/>
        <item x="4"/>
        <item x="5"/>
        <item t="default"/>
      </items>
    </pivotField>
    <pivotField showAll="0"/>
    <pivotField numFmtId="4" showAll="0"/>
    <pivotField numFmtId="165" showAll="0"/>
    <pivotField numFmtId="4" showAll="0"/>
    <pivotField numFmtId="4" showAll="0"/>
    <pivotField numFmtId="4" showAll="0"/>
    <pivotField numFmtId="4" showAll="0"/>
    <pivotField axis="axisCol" showAll="0">
      <items count="4">
        <item x="2"/>
        <item x="0"/>
        <item x="1"/>
        <item t="default"/>
      </items>
    </pivotField>
    <pivotField axis="axisRow" showAll="0">
      <items count="6">
        <item x="3"/>
        <item x="1"/>
        <item x="0"/>
        <item x="4"/>
        <item x="2"/>
        <item t="default"/>
      </items>
    </pivotField>
  </pivotFields>
  <rowFields count="1">
    <field x="14"/>
  </rowFields>
  <rowItems count="6">
    <i>
      <x/>
    </i>
    <i>
      <x v="1"/>
    </i>
    <i>
      <x v="2"/>
    </i>
    <i>
      <x v="3"/>
    </i>
    <i>
      <x v="4"/>
    </i>
    <i t="grand">
      <x/>
    </i>
  </rowItems>
  <colFields count="1">
    <field x="13"/>
  </colFields>
  <colItems count="4">
    <i>
      <x/>
    </i>
    <i>
      <x v="1"/>
    </i>
    <i>
      <x v="2"/>
    </i>
    <i t="grand">
      <x/>
    </i>
  </colItems>
  <dataFields count="1">
    <dataField name="Count of Order ID" fld="0" subtotal="count" baseField="0" baseItem="0"/>
  </dataFields>
  <chartFormats count="18">
    <chartFormat chart="1" format="3" series="1">
      <pivotArea type="data" outline="0" fieldPosition="0">
        <references count="2">
          <reference field="4294967294" count="1" selected="0">
            <x v="0"/>
          </reference>
          <reference field="13" count="1" selected="0">
            <x v="0"/>
          </reference>
        </references>
      </pivotArea>
    </chartFormat>
    <chartFormat chart="1" format="4">
      <pivotArea type="data" outline="0" fieldPosition="0">
        <references count="3">
          <reference field="4294967294" count="1" selected="0">
            <x v="0"/>
          </reference>
          <reference field="13" count="1" selected="0">
            <x v="0"/>
          </reference>
          <reference field="14" count="1" selected="0">
            <x v="0"/>
          </reference>
        </references>
      </pivotArea>
    </chartFormat>
    <chartFormat chart="1" format="5">
      <pivotArea type="data" outline="0" fieldPosition="0">
        <references count="3">
          <reference field="4294967294" count="1" selected="0">
            <x v="0"/>
          </reference>
          <reference field="13" count="1" selected="0">
            <x v="0"/>
          </reference>
          <reference field="14" count="1" selected="0">
            <x v="1"/>
          </reference>
        </references>
      </pivotArea>
    </chartFormat>
    <chartFormat chart="1" format="6">
      <pivotArea type="data" outline="0" fieldPosition="0">
        <references count="3">
          <reference field="4294967294" count="1" selected="0">
            <x v="0"/>
          </reference>
          <reference field="13" count="1" selected="0">
            <x v="0"/>
          </reference>
          <reference field="14" count="1" selected="0">
            <x v="2"/>
          </reference>
        </references>
      </pivotArea>
    </chartFormat>
    <chartFormat chart="1" format="7">
      <pivotArea type="data" outline="0" fieldPosition="0">
        <references count="3">
          <reference field="4294967294" count="1" selected="0">
            <x v="0"/>
          </reference>
          <reference field="13" count="1" selected="0">
            <x v="0"/>
          </reference>
          <reference field="14" count="1" selected="0">
            <x v="3"/>
          </reference>
        </references>
      </pivotArea>
    </chartFormat>
    <chartFormat chart="1" format="8">
      <pivotArea type="data" outline="0" fieldPosition="0">
        <references count="3">
          <reference field="4294967294" count="1" selected="0">
            <x v="0"/>
          </reference>
          <reference field="13" count="1" selected="0">
            <x v="0"/>
          </reference>
          <reference field="14" count="1" selected="0">
            <x v="4"/>
          </reference>
        </references>
      </pivotArea>
    </chartFormat>
    <chartFormat chart="1" format="9" series="1">
      <pivotArea type="data" outline="0" fieldPosition="0">
        <references count="2">
          <reference field="4294967294" count="1" selected="0">
            <x v="0"/>
          </reference>
          <reference field="13" count="1" selected="0">
            <x v="1"/>
          </reference>
        </references>
      </pivotArea>
    </chartFormat>
    <chartFormat chart="1" format="10">
      <pivotArea type="data" outline="0" fieldPosition="0">
        <references count="3">
          <reference field="4294967294" count="1" selected="0">
            <x v="0"/>
          </reference>
          <reference field="13" count="1" selected="0">
            <x v="1"/>
          </reference>
          <reference field="14" count="1" selected="0">
            <x v="0"/>
          </reference>
        </references>
      </pivotArea>
    </chartFormat>
    <chartFormat chart="1" format="11">
      <pivotArea type="data" outline="0" fieldPosition="0">
        <references count="3">
          <reference field="4294967294" count="1" selected="0">
            <x v="0"/>
          </reference>
          <reference field="13" count="1" selected="0">
            <x v="1"/>
          </reference>
          <reference field="14" count="1" selected="0">
            <x v="1"/>
          </reference>
        </references>
      </pivotArea>
    </chartFormat>
    <chartFormat chart="1" format="12">
      <pivotArea type="data" outline="0" fieldPosition="0">
        <references count="3">
          <reference field="4294967294" count="1" selected="0">
            <x v="0"/>
          </reference>
          <reference field="13" count="1" selected="0">
            <x v="1"/>
          </reference>
          <reference field="14" count="1" selected="0">
            <x v="2"/>
          </reference>
        </references>
      </pivotArea>
    </chartFormat>
    <chartFormat chart="1" format="13">
      <pivotArea type="data" outline="0" fieldPosition="0">
        <references count="3">
          <reference field="4294967294" count="1" selected="0">
            <x v="0"/>
          </reference>
          <reference field="13" count="1" selected="0">
            <x v="1"/>
          </reference>
          <reference field="14" count="1" selected="0">
            <x v="3"/>
          </reference>
        </references>
      </pivotArea>
    </chartFormat>
    <chartFormat chart="1" format="14">
      <pivotArea type="data" outline="0" fieldPosition="0">
        <references count="3">
          <reference field="4294967294" count="1" selected="0">
            <x v="0"/>
          </reference>
          <reference field="13" count="1" selected="0">
            <x v="1"/>
          </reference>
          <reference field="14" count="1" selected="0">
            <x v="4"/>
          </reference>
        </references>
      </pivotArea>
    </chartFormat>
    <chartFormat chart="1" format="15" series="1">
      <pivotArea type="data" outline="0" fieldPosition="0">
        <references count="2">
          <reference field="4294967294" count="1" selected="0">
            <x v="0"/>
          </reference>
          <reference field="13" count="1" selected="0">
            <x v="2"/>
          </reference>
        </references>
      </pivotArea>
    </chartFormat>
    <chartFormat chart="1" format="16">
      <pivotArea type="data" outline="0" fieldPosition="0">
        <references count="3">
          <reference field="4294967294" count="1" selected="0">
            <x v="0"/>
          </reference>
          <reference field="13" count="1" selected="0">
            <x v="2"/>
          </reference>
          <reference field="14" count="1" selected="0">
            <x v="0"/>
          </reference>
        </references>
      </pivotArea>
    </chartFormat>
    <chartFormat chart="1" format="17">
      <pivotArea type="data" outline="0" fieldPosition="0">
        <references count="3">
          <reference field="4294967294" count="1" selected="0">
            <x v="0"/>
          </reference>
          <reference field="13" count="1" selected="0">
            <x v="2"/>
          </reference>
          <reference field="14" count="1" selected="0">
            <x v="1"/>
          </reference>
        </references>
      </pivotArea>
    </chartFormat>
    <chartFormat chart="1" format="18">
      <pivotArea type="data" outline="0" fieldPosition="0">
        <references count="3">
          <reference field="4294967294" count="1" selected="0">
            <x v="0"/>
          </reference>
          <reference field="13" count="1" selected="0">
            <x v="2"/>
          </reference>
          <reference field="14" count="1" selected="0">
            <x v="2"/>
          </reference>
        </references>
      </pivotArea>
    </chartFormat>
    <chartFormat chart="1" format="19">
      <pivotArea type="data" outline="0" fieldPosition="0">
        <references count="3">
          <reference field="4294967294" count="1" selected="0">
            <x v="0"/>
          </reference>
          <reference field="13" count="1" selected="0">
            <x v="2"/>
          </reference>
          <reference field="14" count="1" selected="0">
            <x v="3"/>
          </reference>
        </references>
      </pivotArea>
    </chartFormat>
    <chartFormat chart="1" format="20">
      <pivotArea type="data" outline="0" fieldPosition="0">
        <references count="3">
          <reference field="4294967294" count="1" selected="0">
            <x v="0"/>
          </reference>
          <reference field="13" count="1" selected="0">
            <x v="2"/>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FAB402-4F56-42F5-BE5B-601F2E02DD4C}"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rowHeaderCaption="Category">
  <location ref="A30:D37" firstHeaderRow="0" firstDataRow="1" firstDataCol="1"/>
  <pivotFields count="15">
    <pivotField showAll="0"/>
    <pivotField numFmtId="164" showAll="0"/>
    <pivotField showAll="0"/>
    <pivotField showAll="0"/>
    <pivotField showAll="0">
      <items count="21">
        <item x="10"/>
        <item x="13"/>
        <item x="16"/>
        <item x="15"/>
        <item x="8"/>
        <item x="17"/>
        <item x="4"/>
        <item x="7"/>
        <item x="11"/>
        <item x="18"/>
        <item x="19"/>
        <item x="0"/>
        <item x="12"/>
        <item x="6"/>
        <item x="2"/>
        <item x="1"/>
        <item x="3"/>
        <item x="9"/>
        <item x="5"/>
        <item x="14"/>
        <item t="default"/>
      </items>
    </pivotField>
    <pivotField axis="axisRow" showAll="0">
      <items count="7">
        <item x="2"/>
        <item x="0"/>
        <item x="3"/>
        <item x="1"/>
        <item x="4"/>
        <item x="5"/>
        <item t="default"/>
      </items>
    </pivotField>
    <pivotField dataField="1" showAll="0"/>
    <pivotField numFmtId="4" showAll="0"/>
    <pivotField numFmtId="165" showAll="0"/>
    <pivotField numFmtId="4" showAll="0"/>
    <pivotField dataField="1" numFmtId="4" showAll="0"/>
    <pivotField numFmtId="4" showAll="0"/>
    <pivotField dataField="1" numFmtId="4" showAll="0"/>
    <pivotField showAll="0"/>
    <pivotField showAll="0"/>
  </pivotFields>
  <rowFields count="1">
    <field x="5"/>
  </rowFields>
  <rowItems count="7">
    <i>
      <x/>
    </i>
    <i>
      <x v="1"/>
    </i>
    <i>
      <x v="2"/>
    </i>
    <i>
      <x v="3"/>
    </i>
    <i>
      <x v="4"/>
    </i>
    <i>
      <x v="5"/>
    </i>
    <i t="grand">
      <x/>
    </i>
  </rowItems>
  <colFields count="1">
    <field x="-2"/>
  </colFields>
  <colItems count="3">
    <i>
      <x/>
    </i>
    <i i="1">
      <x v="1"/>
    </i>
    <i i="2">
      <x v="2"/>
    </i>
  </colItems>
  <dataFields count="3">
    <dataField name="Sum of Net Sales" fld="10" baseField="0" baseItem="0"/>
    <dataField name="Sum of Profit" fld="12" baseField="0" baseItem="0"/>
    <dataField name="Sum of Quantity" fld="6" baseField="0" baseItem="0"/>
  </dataFields>
  <chartFormats count="3">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5" format="6"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5ADF0B-E00A-4267-B88B-81293716C2E6}"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rowHeaderCaption="City" colHeaderCaption="Category">
  <location ref="A4:H14" firstHeaderRow="1" firstDataRow="2" firstDataCol="1"/>
  <pivotFields count="15">
    <pivotField showAll="0"/>
    <pivotField numFmtId="164" showAll="0"/>
    <pivotField axis="axisRow" showAll="0">
      <items count="9">
        <item x="4"/>
        <item x="6"/>
        <item x="5"/>
        <item x="0"/>
        <item x="3"/>
        <item x="7"/>
        <item x="1"/>
        <item x="2"/>
        <item t="default"/>
      </items>
    </pivotField>
    <pivotField showAll="0"/>
    <pivotField showAll="0"/>
    <pivotField axis="axisCol" showAll="0">
      <items count="7">
        <item x="2"/>
        <item x="0"/>
        <item x="3"/>
        <item x="1"/>
        <item x="4"/>
        <item x="5"/>
        <item t="default"/>
      </items>
    </pivotField>
    <pivotField showAll="0"/>
    <pivotField numFmtId="4" showAll="0"/>
    <pivotField numFmtId="165" showAll="0"/>
    <pivotField numFmtId="4" showAll="0"/>
    <pivotField dataField="1" numFmtId="4" showAll="0"/>
    <pivotField numFmtId="4" showAll="0"/>
    <pivotField numFmtId="4" showAll="0"/>
    <pivotField multipleItemSelectionAllowed="1" showAll="0">
      <items count="4">
        <item x="2"/>
        <item x="0"/>
        <item x="1"/>
        <item t="default"/>
      </items>
    </pivotField>
    <pivotField showAll="0"/>
  </pivotFields>
  <rowFields count="1">
    <field x="2"/>
  </rowFields>
  <rowItems count="9">
    <i>
      <x/>
    </i>
    <i>
      <x v="1"/>
    </i>
    <i>
      <x v="2"/>
    </i>
    <i>
      <x v="3"/>
    </i>
    <i>
      <x v="4"/>
    </i>
    <i>
      <x v="5"/>
    </i>
    <i>
      <x v="6"/>
    </i>
    <i>
      <x v="7"/>
    </i>
    <i t="grand">
      <x/>
    </i>
  </rowItems>
  <colFields count="1">
    <field x="5"/>
  </colFields>
  <colItems count="7">
    <i>
      <x/>
    </i>
    <i>
      <x v="1"/>
    </i>
    <i>
      <x v="2"/>
    </i>
    <i>
      <x v="3"/>
    </i>
    <i>
      <x v="4"/>
    </i>
    <i>
      <x v="5"/>
    </i>
    <i t="grand">
      <x/>
    </i>
  </colItems>
  <dataFields count="1">
    <dataField name="Sum of Net Sales" fld="10" baseField="0" baseItem="0"/>
  </dataFields>
  <chartFormats count="6">
    <chartFormat chart="1" format="6" series="1">
      <pivotArea type="data" outline="0" fieldPosition="0">
        <references count="2">
          <reference field="4294967294" count="1" selected="0">
            <x v="0"/>
          </reference>
          <reference field="5" count="1" selected="0">
            <x v="0"/>
          </reference>
        </references>
      </pivotArea>
    </chartFormat>
    <chartFormat chart="1" format="7" series="1">
      <pivotArea type="data" outline="0" fieldPosition="0">
        <references count="2">
          <reference field="4294967294" count="1" selected="0">
            <x v="0"/>
          </reference>
          <reference field="5" count="1" selected="0">
            <x v="1"/>
          </reference>
        </references>
      </pivotArea>
    </chartFormat>
    <chartFormat chart="1" format="8" series="1">
      <pivotArea type="data" outline="0" fieldPosition="0">
        <references count="2">
          <reference field="4294967294" count="1" selected="0">
            <x v="0"/>
          </reference>
          <reference field="5" count="1" selected="0">
            <x v="2"/>
          </reference>
        </references>
      </pivotArea>
    </chartFormat>
    <chartFormat chart="1" format="9" series="1">
      <pivotArea type="data" outline="0" fieldPosition="0">
        <references count="2">
          <reference field="4294967294" count="1" selected="0">
            <x v="0"/>
          </reference>
          <reference field="5" count="1" selected="0">
            <x v="3"/>
          </reference>
        </references>
      </pivotArea>
    </chartFormat>
    <chartFormat chart="1" format="10" series="1">
      <pivotArea type="data" outline="0" fieldPosition="0">
        <references count="2">
          <reference field="4294967294" count="1" selected="0">
            <x v="0"/>
          </reference>
          <reference field="5" count="1" selected="0">
            <x v="4"/>
          </reference>
        </references>
      </pivotArea>
    </chartFormat>
    <chartFormat chart="1" format="11"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A4BB50-9933-441B-976D-50AB5779A631}"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rowHeaderCaption="City">
  <location ref="F47:J57" firstHeaderRow="1" firstDataRow="2" firstDataCol="1"/>
  <pivotFields count="15">
    <pivotField dataField="1" showAll="0"/>
    <pivotField numFmtId="164" showAll="0"/>
    <pivotField axis="axisRow" showAll="0">
      <items count="9">
        <item x="4"/>
        <item x="6"/>
        <item x="5"/>
        <item x="0"/>
        <item x="3"/>
        <item x="7"/>
        <item x="1"/>
        <item x="2"/>
        <item t="default"/>
      </items>
    </pivotField>
    <pivotField showAll="0"/>
    <pivotField showAll="0"/>
    <pivotField showAll="0"/>
    <pivotField showAll="0"/>
    <pivotField numFmtId="4" showAll="0"/>
    <pivotField numFmtId="165" showAll="0"/>
    <pivotField numFmtId="4" showAll="0"/>
    <pivotField numFmtId="4" showAll="0"/>
    <pivotField numFmtId="4" showAll="0"/>
    <pivotField numFmtId="4" showAll="0"/>
    <pivotField axis="axisCol" showAll="0">
      <items count="4">
        <item x="2"/>
        <item x="0"/>
        <item x="1"/>
        <item t="default"/>
      </items>
    </pivotField>
    <pivotField showAll="0"/>
  </pivotFields>
  <rowFields count="1">
    <field x="2"/>
  </rowFields>
  <rowItems count="9">
    <i>
      <x/>
    </i>
    <i>
      <x v="1"/>
    </i>
    <i>
      <x v="2"/>
    </i>
    <i>
      <x v="3"/>
    </i>
    <i>
      <x v="4"/>
    </i>
    <i>
      <x v="5"/>
    </i>
    <i>
      <x v="6"/>
    </i>
    <i>
      <x v="7"/>
    </i>
    <i t="grand">
      <x/>
    </i>
  </rowItems>
  <colFields count="1">
    <field x="13"/>
  </colFields>
  <colItems count="4">
    <i>
      <x/>
    </i>
    <i>
      <x v="1"/>
    </i>
    <i>
      <x v="2"/>
    </i>
    <i t="grand">
      <x/>
    </i>
  </colItems>
  <dataFields count="1">
    <dataField name="Count of Order ID" fld="0" subtotal="count" baseField="0" baseItem="0"/>
  </dataFields>
  <formats count="2">
    <format dxfId="43">
      <pivotArea field="13" dataOnly="0" labelOnly="1" grandCol="1" outline="0" axis="axisCol" fieldPosition="0">
        <references count="1">
          <reference field="4294967294" count="1" selected="0">
            <x v="0"/>
          </reference>
        </references>
      </pivotArea>
    </format>
    <format dxfId="42">
      <pivotArea field="13" dataOnly="0" labelOnly="1" grandCol="1" outline="0" axis="axisCol" fieldPosition="0">
        <references count="1">
          <reference field="4294967294" count="1" selected="0">
            <x v="0"/>
          </reference>
        </references>
      </pivotArea>
    </format>
  </formats>
  <chartFormats count="3">
    <chartFormat chart="1" format="7" series="1">
      <pivotArea type="data" outline="0" fieldPosition="0">
        <references count="2">
          <reference field="4294967294" count="1" selected="0">
            <x v="0"/>
          </reference>
          <reference field="13" count="1" selected="0">
            <x v="0"/>
          </reference>
        </references>
      </pivotArea>
    </chartFormat>
    <chartFormat chart="1" format="9" series="1">
      <pivotArea type="data" outline="0" fieldPosition="0">
        <references count="2">
          <reference field="4294967294" count="1" selected="0">
            <x v="0"/>
          </reference>
          <reference field="13" count="1" selected="0">
            <x v="1"/>
          </reference>
        </references>
      </pivotArea>
    </chartFormat>
    <chartFormat chart="1" format="11"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A8E217F-D795-4659-92D0-7C7D7A586C58}"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rowHeaderCaption="Category">
  <location ref="G30:J37" firstHeaderRow="0" firstDataRow="1" firstDataCol="1"/>
  <pivotFields count="15">
    <pivotField showAll="0"/>
    <pivotField numFmtId="164" showAll="0"/>
    <pivotField showAll="0"/>
    <pivotField showAll="0"/>
    <pivotField showAll="0"/>
    <pivotField axis="axisRow" showAll="0">
      <items count="7">
        <item x="2"/>
        <item x="0"/>
        <item x="3"/>
        <item x="1"/>
        <item x="4"/>
        <item x="5"/>
        <item t="default"/>
      </items>
    </pivotField>
    <pivotField showAll="0"/>
    <pivotField numFmtId="4" showAll="0"/>
    <pivotField dataField="1" numFmtId="165" showAll="0"/>
    <pivotField dataField="1" numFmtId="4" showAll="0"/>
    <pivotField dataField="1" numFmtId="4" showAll="0"/>
    <pivotField numFmtId="4" showAll="0"/>
    <pivotField numFmtId="4" showAll="0"/>
    <pivotField showAll="0"/>
    <pivotField showAll="0"/>
  </pivotFields>
  <rowFields count="1">
    <field x="5"/>
  </rowFields>
  <rowItems count="7">
    <i>
      <x/>
    </i>
    <i>
      <x v="1"/>
    </i>
    <i>
      <x v="2"/>
    </i>
    <i>
      <x v="3"/>
    </i>
    <i>
      <x v="4"/>
    </i>
    <i>
      <x v="5"/>
    </i>
    <i t="grand">
      <x/>
    </i>
  </rowItems>
  <colFields count="1">
    <field x="-2"/>
  </colFields>
  <colItems count="3">
    <i>
      <x/>
    </i>
    <i i="1">
      <x v="1"/>
    </i>
    <i i="2">
      <x v="2"/>
    </i>
  </colItems>
  <dataFields count="3">
    <dataField name="Average of Discount %" fld="8" subtotal="average" baseField="5" baseItem="0"/>
    <dataField name="Sum of Discount Amount" fld="9" baseField="0" baseItem="0"/>
    <dataField name="Sum of Net Sal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65A7D0-A5A4-4F59-8F9A-AA6DE9F0CDFD}"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rowHeaderCaption="Category">
  <location ref="M61:P68" firstHeaderRow="0" firstDataRow="1" firstDataCol="1"/>
  <pivotFields count="15">
    <pivotField showAll="0"/>
    <pivotField numFmtId="164" showAll="0"/>
    <pivotField showAll="0"/>
    <pivotField showAll="0"/>
    <pivotField showAll="0"/>
    <pivotField axis="axisRow" showAll="0">
      <items count="7">
        <item x="2"/>
        <item x="0"/>
        <item x="3"/>
        <item x="1"/>
        <item x="4"/>
        <item x="5"/>
        <item t="default"/>
      </items>
    </pivotField>
    <pivotField showAll="0"/>
    <pivotField numFmtId="4" showAll="0"/>
    <pivotField dataField="1" numFmtId="165" showAll="0"/>
    <pivotField dataField="1" numFmtId="4" showAll="0"/>
    <pivotField dataField="1" numFmtId="4" showAll="0"/>
    <pivotField numFmtId="4" showAll="0"/>
    <pivotField numFmtId="4" showAll="0"/>
    <pivotField showAll="0"/>
    <pivotField showAll="0"/>
  </pivotFields>
  <rowFields count="1">
    <field x="5"/>
  </rowFields>
  <rowItems count="7">
    <i>
      <x/>
    </i>
    <i>
      <x v="1"/>
    </i>
    <i>
      <x v="2"/>
    </i>
    <i>
      <x v="3"/>
    </i>
    <i>
      <x v="4"/>
    </i>
    <i>
      <x v="5"/>
    </i>
    <i t="grand">
      <x/>
    </i>
  </rowItems>
  <colFields count="1">
    <field x="-2"/>
  </colFields>
  <colItems count="3">
    <i>
      <x/>
    </i>
    <i i="1">
      <x v="1"/>
    </i>
    <i i="2">
      <x v="2"/>
    </i>
  </colItems>
  <dataFields count="3">
    <dataField name="Average of Discount %" fld="8" subtotal="average" baseField="5" baseItem="0"/>
    <dataField name="Sum of Discount Amount" fld="9" baseField="0" baseItem="0"/>
    <dataField name="Sum of Net Sales" fld="10" baseField="0" baseItem="0"/>
  </dataFields>
  <formats count="6">
    <format dxfId="23">
      <pivotArea type="all" dataOnly="0" outline="0" fieldPosition="0"/>
    </format>
    <format dxfId="16">
      <pivotArea outline="0" collapsedLevelsAreSubtotals="1" fieldPosition="0"/>
    </format>
    <format dxfId="15">
      <pivotArea field="5" type="button" dataOnly="0" labelOnly="1" outline="0" axis="axisRow" fieldPosition="0"/>
    </format>
    <format dxfId="14">
      <pivotArea dataOnly="0" labelOnly="1" fieldPosition="0">
        <references count="1">
          <reference field="5" count="0"/>
        </references>
      </pivotArea>
    </format>
    <format dxfId="13">
      <pivotArea dataOnly="0" labelOnly="1" grandRow="1" outline="0" fieldPosition="0"/>
    </format>
    <format dxfId="12">
      <pivotArea dataOnly="0" labelOnly="1" outline="0" fieldPosition="0">
        <references count="1">
          <reference field="4294967294" count="3">
            <x v="0"/>
            <x v="1"/>
            <x v="2"/>
          </reference>
        </references>
      </pivotArea>
    </format>
  </formats>
  <pivotTableStyleInfo name="PivotStyleLight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9812D37-27C5-46C1-A3D9-423BF7C09307}" sourceName="City">
  <pivotTables>
    <pivotTable tabId="3" name="PivotTable15"/>
    <pivotTable tabId="3" name="PivotTable12"/>
  </pivotTables>
  <data>
    <tabular pivotCacheId="784883727">
      <items count="8">
        <i x="4" s="1"/>
        <i x="6" s="1"/>
        <i x="5" s="1"/>
        <i x="0" s="1"/>
        <i x="3" s="1"/>
        <i x="7"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C0B5608-FFC8-42B4-8898-E3CD1B90D245}" sourceName="Category">
  <pivotTables>
    <pivotTable tabId="3" name="PivotTable16"/>
    <pivotTable tabId="3" name="PivotTable11"/>
    <pivotTable tabId="3" name="PivotTable10"/>
    <pivotTable tabId="3" name="PivotTable5"/>
    <pivotTable tabId="4" name="PivotTable1"/>
  </pivotTables>
  <data>
    <tabular pivotCacheId="784883727">
      <items count="6">
        <i x="2" s="1"/>
        <i x="0" s="1"/>
        <i x="3" s="1"/>
        <i x="1"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CBDBC3A7-22CE-4554-8FAA-78F265B53668}" sourceName="Store">
  <pivotTables>
    <pivotTable tabId="3" name="PivotTable9"/>
  </pivotTables>
  <data>
    <tabular pivotCacheId="784883727">
      <items count="11">
        <i x="1" s="1"/>
        <i x="3" s="1"/>
        <i x="8" s="1"/>
        <i x="5" s="1"/>
        <i x="10" s="1"/>
        <i x="9" s="1"/>
        <i x="7" s="1"/>
        <i x="6" s="1"/>
        <i x="0"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6E35E5E4-B7C2-477B-8C8D-346F62E1E216}" cache="Slicer_City" caption="City" rowHeight="241300"/>
  <slicer name="Category" xr10:uid="{65BC60C4-D4AE-4FB9-9931-1515E0E0D3F1}" cache="Slicer_Category" caption="Category" rowHeight="241300"/>
  <slicer name="Store" xr10:uid="{92405383-ED8D-4F74-8AB5-13211E2B6C59}" cache="Slicer_Store" caption="Stor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E4CC2-9B34-4C64-AB34-DCC50B3C28D1}">
  <dimension ref="A2:K60"/>
  <sheetViews>
    <sheetView topLeftCell="A40" workbookViewId="0">
      <selection activeCell="J6" sqref="J6"/>
    </sheetView>
  </sheetViews>
  <sheetFormatPr defaultRowHeight="14.5" x14ac:dyDescent="0.35"/>
  <cols>
    <col min="1" max="1" width="24.26953125" customWidth="1"/>
    <col min="2" max="7" width="15.6328125" customWidth="1"/>
    <col min="8" max="8" width="17.453125" customWidth="1"/>
    <col min="9" max="9" width="14.26953125" customWidth="1"/>
    <col min="10" max="10" width="15.6328125" customWidth="1"/>
    <col min="11" max="11" width="10.7265625" bestFit="1" customWidth="1"/>
  </cols>
  <sheetData>
    <row r="2" spans="1:9" x14ac:dyDescent="0.35">
      <c r="D2" s="9" t="s">
        <v>278</v>
      </c>
      <c r="E2" s="10"/>
    </row>
    <row r="3" spans="1:9" x14ac:dyDescent="0.35">
      <c r="D3" s="10"/>
      <c r="E3" s="10"/>
    </row>
    <row r="4" spans="1:9" x14ac:dyDescent="0.35">
      <c r="A4" s="5" t="s">
        <v>270</v>
      </c>
      <c r="B4" s="5" t="s">
        <v>5</v>
      </c>
    </row>
    <row r="5" spans="1:9" x14ac:dyDescent="0.35">
      <c r="A5" s="5" t="s">
        <v>2</v>
      </c>
      <c r="B5" t="s">
        <v>49</v>
      </c>
      <c r="C5" t="s">
        <v>19</v>
      </c>
      <c r="D5" t="s">
        <v>57</v>
      </c>
      <c r="E5" t="s">
        <v>30</v>
      </c>
      <c r="F5" t="s">
        <v>66</v>
      </c>
      <c r="G5" t="s">
        <v>84</v>
      </c>
      <c r="H5" t="s">
        <v>268</v>
      </c>
    </row>
    <row r="6" spans="1:9" x14ac:dyDescent="0.35">
      <c r="A6" s="6" t="s">
        <v>54</v>
      </c>
      <c r="B6" s="7"/>
      <c r="C6" s="7">
        <v>12722.5</v>
      </c>
      <c r="D6" s="7">
        <v>810</v>
      </c>
      <c r="E6" s="7">
        <v>4427</v>
      </c>
      <c r="F6" s="7">
        <v>2639</v>
      </c>
      <c r="G6" s="7">
        <v>1080</v>
      </c>
      <c r="H6" s="7">
        <v>21678.5</v>
      </c>
    </row>
    <row r="7" spans="1:9" x14ac:dyDescent="0.35">
      <c r="A7" s="6" t="s">
        <v>81</v>
      </c>
      <c r="B7" s="7">
        <v>3264</v>
      </c>
      <c r="C7" s="7">
        <v>11490</v>
      </c>
      <c r="D7" s="7">
        <v>1863</v>
      </c>
      <c r="E7" s="7">
        <v>3411</v>
      </c>
      <c r="F7" s="7">
        <v>2622</v>
      </c>
      <c r="G7" s="7">
        <v>1710</v>
      </c>
      <c r="H7" s="7">
        <v>24360</v>
      </c>
    </row>
    <row r="8" spans="1:9" x14ac:dyDescent="0.35">
      <c r="A8" s="6" t="s">
        <v>63</v>
      </c>
      <c r="B8" s="7">
        <v>1116</v>
      </c>
      <c r="C8" s="7">
        <v>23472.5</v>
      </c>
      <c r="D8" s="7">
        <v>1754</v>
      </c>
      <c r="E8" s="7">
        <v>5297</v>
      </c>
      <c r="F8" s="7">
        <v>4277</v>
      </c>
      <c r="G8" s="7">
        <v>4972.5</v>
      </c>
      <c r="H8" s="7">
        <v>40889</v>
      </c>
    </row>
    <row r="9" spans="1:9" x14ac:dyDescent="0.35">
      <c r="A9" s="6" t="s">
        <v>16</v>
      </c>
      <c r="B9" s="7">
        <v>5159</v>
      </c>
      <c r="C9" s="7">
        <v>40887.5</v>
      </c>
      <c r="D9" s="7">
        <v>789.5</v>
      </c>
      <c r="E9" s="7">
        <v>5765.5</v>
      </c>
      <c r="F9" s="7">
        <v>2218</v>
      </c>
      <c r="G9" s="7">
        <v>5895</v>
      </c>
      <c r="H9" s="7">
        <v>60714.5</v>
      </c>
    </row>
    <row r="10" spans="1:9" x14ac:dyDescent="0.35">
      <c r="A10" s="6" t="s">
        <v>43</v>
      </c>
      <c r="B10" s="7">
        <v>3243</v>
      </c>
      <c r="C10" s="7">
        <v>7795</v>
      </c>
      <c r="D10" s="7">
        <v>1262</v>
      </c>
      <c r="E10" s="7">
        <v>10214</v>
      </c>
      <c r="F10" s="7">
        <v>3092</v>
      </c>
      <c r="G10" s="7">
        <v>3352.5</v>
      </c>
      <c r="H10" s="7">
        <v>28958.5</v>
      </c>
    </row>
    <row r="11" spans="1:9" x14ac:dyDescent="0.35">
      <c r="A11" s="6" t="s">
        <v>112</v>
      </c>
      <c r="B11" s="7">
        <v>1232</v>
      </c>
      <c r="C11" s="7">
        <v>20055</v>
      </c>
      <c r="D11" s="7"/>
      <c r="E11" s="7">
        <v>6480</v>
      </c>
      <c r="F11" s="7">
        <v>2517</v>
      </c>
      <c r="G11" s="7"/>
      <c r="H11" s="7">
        <v>30284</v>
      </c>
    </row>
    <row r="12" spans="1:9" x14ac:dyDescent="0.35">
      <c r="A12" s="6" t="s">
        <v>23</v>
      </c>
      <c r="B12" s="7">
        <v>1192</v>
      </c>
      <c r="C12" s="7">
        <v>27567.5</v>
      </c>
      <c r="D12" s="7">
        <v>2174.5</v>
      </c>
      <c r="E12" s="7">
        <v>8294</v>
      </c>
      <c r="F12" s="7">
        <v>2864</v>
      </c>
      <c r="G12" s="7">
        <v>2115</v>
      </c>
      <c r="H12" s="7">
        <v>44207</v>
      </c>
    </row>
    <row r="13" spans="1:9" x14ac:dyDescent="0.35">
      <c r="A13" s="6" t="s">
        <v>36</v>
      </c>
      <c r="B13" s="7">
        <v>2131</v>
      </c>
      <c r="C13" s="7">
        <v>12595</v>
      </c>
      <c r="D13" s="7">
        <v>459</v>
      </c>
      <c r="E13" s="7">
        <v>8982</v>
      </c>
      <c r="F13" s="7">
        <v>6290</v>
      </c>
      <c r="G13" s="7">
        <v>2520</v>
      </c>
      <c r="H13" s="7">
        <v>32977</v>
      </c>
    </row>
    <row r="14" spans="1:9" x14ac:dyDescent="0.35">
      <c r="A14" s="6" t="s">
        <v>268</v>
      </c>
      <c r="B14" s="7">
        <v>17337</v>
      </c>
      <c r="C14" s="7">
        <v>156585</v>
      </c>
      <c r="D14" s="7">
        <v>9112</v>
      </c>
      <c r="E14" s="7">
        <v>52870.5</v>
      </c>
      <c r="F14" s="7">
        <v>26519</v>
      </c>
      <c r="G14" s="7">
        <v>21645</v>
      </c>
      <c r="H14" s="7">
        <v>284068.5</v>
      </c>
      <c r="I14">
        <f>GETPIVOTDATA("Net Sales",$A$4)</f>
        <v>284068.5</v>
      </c>
    </row>
    <row r="15" spans="1:9" x14ac:dyDescent="0.35">
      <c r="A15" s="6"/>
      <c r="B15" s="7"/>
      <c r="C15" s="7"/>
      <c r="D15" s="7"/>
      <c r="E15" s="7"/>
      <c r="F15" s="7"/>
      <c r="G15" s="7"/>
      <c r="H15" s="7"/>
    </row>
    <row r="16" spans="1:9" ht="14.5" customHeight="1" x14ac:dyDescent="0.35">
      <c r="E16" s="9" t="s">
        <v>279</v>
      </c>
      <c r="F16" s="9"/>
      <c r="G16" s="9"/>
    </row>
    <row r="17" spans="1:11" x14ac:dyDescent="0.35">
      <c r="E17" s="9"/>
      <c r="F17" s="9"/>
      <c r="G17" s="9"/>
    </row>
    <row r="18" spans="1:11" x14ac:dyDescent="0.35">
      <c r="A18" s="5" t="s">
        <v>272</v>
      </c>
      <c r="B18" s="5" t="s">
        <v>273</v>
      </c>
      <c r="G18" s="5" t="s">
        <v>270</v>
      </c>
      <c r="H18" s="5" t="s">
        <v>273</v>
      </c>
    </row>
    <row r="19" spans="1:11" x14ac:dyDescent="0.35">
      <c r="A19" s="5" t="s">
        <v>276</v>
      </c>
      <c r="B19" t="s">
        <v>34</v>
      </c>
      <c r="C19" t="s">
        <v>20</v>
      </c>
      <c r="D19" t="s">
        <v>3</v>
      </c>
      <c r="E19" t="s">
        <v>268</v>
      </c>
      <c r="G19" s="5" t="s">
        <v>267</v>
      </c>
      <c r="H19" t="s">
        <v>34</v>
      </c>
      <c r="I19" t="s">
        <v>20</v>
      </c>
      <c r="J19" t="s">
        <v>3</v>
      </c>
      <c r="K19" t="s">
        <v>268</v>
      </c>
    </row>
    <row r="20" spans="1:11" x14ac:dyDescent="0.35">
      <c r="A20" s="6" t="s">
        <v>39</v>
      </c>
      <c r="B20" s="7">
        <v>12</v>
      </c>
      <c r="C20" s="7">
        <v>14</v>
      </c>
      <c r="D20" s="7">
        <v>18</v>
      </c>
      <c r="E20" s="7">
        <v>44</v>
      </c>
      <c r="G20" s="6" t="s">
        <v>39</v>
      </c>
      <c r="H20" s="7">
        <v>20658</v>
      </c>
      <c r="I20" s="7">
        <v>13679</v>
      </c>
      <c r="J20" s="7">
        <v>27470.5</v>
      </c>
      <c r="K20" s="7">
        <v>61807.5</v>
      </c>
    </row>
    <row r="21" spans="1:11" x14ac:dyDescent="0.35">
      <c r="A21" s="6" t="s">
        <v>26</v>
      </c>
      <c r="B21" s="7">
        <v>12</v>
      </c>
      <c r="C21" s="7">
        <v>18</v>
      </c>
      <c r="D21" s="7">
        <v>12</v>
      </c>
      <c r="E21" s="7">
        <v>42</v>
      </c>
      <c r="G21" s="6" t="s">
        <v>26</v>
      </c>
      <c r="H21" s="7">
        <v>15848.5</v>
      </c>
      <c r="I21" s="7">
        <v>29270</v>
      </c>
      <c r="J21" s="7">
        <v>16393.5</v>
      </c>
      <c r="K21" s="7">
        <v>61512</v>
      </c>
    </row>
    <row r="22" spans="1:11" x14ac:dyDescent="0.35">
      <c r="A22" s="6" t="s">
        <v>21</v>
      </c>
      <c r="B22" s="7">
        <v>13</v>
      </c>
      <c r="C22" s="7">
        <v>10</v>
      </c>
      <c r="D22" s="7">
        <v>10</v>
      </c>
      <c r="E22" s="7">
        <v>33</v>
      </c>
      <c r="G22" s="6" t="s">
        <v>21</v>
      </c>
      <c r="H22" s="7">
        <v>14351.5</v>
      </c>
      <c r="I22" s="7">
        <v>18569.5</v>
      </c>
      <c r="J22" s="7">
        <v>18926.5</v>
      </c>
      <c r="K22" s="7">
        <v>51847.5</v>
      </c>
    </row>
    <row r="23" spans="1:11" x14ac:dyDescent="0.35">
      <c r="A23" s="6" t="s">
        <v>41</v>
      </c>
      <c r="B23" s="7">
        <v>10</v>
      </c>
      <c r="C23" s="7">
        <v>16</v>
      </c>
      <c r="D23" s="7">
        <v>12</v>
      </c>
      <c r="E23" s="7">
        <v>38</v>
      </c>
      <c r="G23" s="6" t="s">
        <v>41</v>
      </c>
      <c r="H23" s="7">
        <v>16498</v>
      </c>
      <c r="I23" s="7">
        <v>20105.5</v>
      </c>
      <c r="J23" s="7">
        <v>13951</v>
      </c>
      <c r="K23" s="7">
        <v>50554.5</v>
      </c>
    </row>
    <row r="24" spans="1:11" x14ac:dyDescent="0.35">
      <c r="A24" s="6" t="s">
        <v>31</v>
      </c>
      <c r="B24" s="7">
        <v>18</v>
      </c>
      <c r="C24" s="7">
        <v>12</v>
      </c>
      <c r="D24" s="7">
        <v>13</v>
      </c>
      <c r="E24" s="7">
        <v>43</v>
      </c>
      <c r="G24" s="6" t="s">
        <v>31</v>
      </c>
      <c r="H24" s="7">
        <v>19805.5</v>
      </c>
      <c r="I24" s="7">
        <v>26499</v>
      </c>
      <c r="J24" s="7">
        <v>12042.5</v>
      </c>
      <c r="K24" s="7">
        <v>58347</v>
      </c>
    </row>
    <row r="25" spans="1:11" x14ac:dyDescent="0.35">
      <c r="A25" s="6" t="s">
        <v>268</v>
      </c>
      <c r="B25" s="7">
        <v>65</v>
      </c>
      <c r="C25" s="7">
        <v>70</v>
      </c>
      <c r="D25" s="7">
        <v>65</v>
      </c>
      <c r="E25" s="7">
        <v>200</v>
      </c>
      <c r="G25" s="6" t="s">
        <v>268</v>
      </c>
      <c r="H25" s="7">
        <v>87161.5</v>
      </c>
      <c r="I25" s="7">
        <v>108123</v>
      </c>
      <c r="J25" s="7">
        <v>88784</v>
      </c>
      <c r="K25" s="7">
        <v>284068.5</v>
      </c>
    </row>
    <row r="27" spans="1:11" x14ac:dyDescent="0.35">
      <c r="G27" s="7"/>
      <c r="H27" s="7"/>
      <c r="I27" s="7"/>
      <c r="J27" s="7"/>
    </row>
    <row r="28" spans="1:11" x14ac:dyDescent="0.35">
      <c r="A28" s="6"/>
      <c r="B28" s="11" t="s">
        <v>281</v>
      </c>
      <c r="C28" s="11"/>
      <c r="D28" s="7"/>
      <c r="G28" s="7"/>
      <c r="H28" s="12" t="s">
        <v>282</v>
      </c>
      <c r="I28" s="12"/>
      <c r="J28" s="7"/>
    </row>
    <row r="29" spans="1:11" x14ac:dyDescent="0.35">
      <c r="B29" s="11"/>
      <c r="C29" s="11"/>
      <c r="H29" s="12"/>
      <c r="I29" s="12"/>
    </row>
    <row r="30" spans="1:11" x14ac:dyDescent="0.35">
      <c r="A30" s="5" t="s">
        <v>5</v>
      </c>
      <c r="B30" t="s">
        <v>270</v>
      </c>
      <c r="C30" t="s">
        <v>269</v>
      </c>
      <c r="D30" t="s">
        <v>271</v>
      </c>
      <c r="G30" s="5" t="s">
        <v>5</v>
      </c>
      <c r="H30" t="s">
        <v>274</v>
      </c>
      <c r="I30" t="s">
        <v>275</v>
      </c>
      <c r="J30" t="s">
        <v>270</v>
      </c>
    </row>
    <row r="31" spans="1:11" x14ac:dyDescent="0.35">
      <c r="A31" s="6" t="s">
        <v>49</v>
      </c>
      <c r="B31" s="7">
        <v>17337</v>
      </c>
      <c r="C31" s="7">
        <v>8010.89</v>
      </c>
      <c r="D31" s="7">
        <v>95</v>
      </c>
      <c r="G31" s="6" t="s">
        <v>49</v>
      </c>
      <c r="H31" s="7">
        <v>10.681818181818182</v>
      </c>
      <c r="I31" s="7">
        <v>2123</v>
      </c>
      <c r="J31" s="7">
        <v>17337</v>
      </c>
    </row>
    <row r="32" spans="1:11" x14ac:dyDescent="0.35">
      <c r="A32" s="6" t="s">
        <v>19</v>
      </c>
      <c r="B32" s="7">
        <v>156585</v>
      </c>
      <c r="C32" s="7">
        <v>77582.37000000001</v>
      </c>
      <c r="D32" s="7">
        <v>203</v>
      </c>
      <c r="G32" s="6" t="s">
        <v>19</v>
      </c>
      <c r="H32" s="7">
        <v>7.9411764705882355</v>
      </c>
      <c r="I32" s="7">
        <v>12515</v>
      </c>
      <c r="J32" s="7">
        <v>156585</v>
      </c>
    </row>
    <row r="33" spans="1:10" x14ac:dyDescent="0.35">
      <c r="A33" s="6" t="s">
        <v>57</v>
      </c>
      <c r="B33" s="7">
        <v>9112</v>
      </c>
      <c r="C33" s="7">
        <v>4358.58</v>
      </c>
      <c r="D33" s="7">
        <v>101</v>
      </c>
      <c r="G33" s="6" t="s">
        <v>57</v>
      </c>
      <c r="H33" s="7">
        <v>7.1739130434782608</v>
      </c>
      <c r="I33" s="7">
        <v>758</v>
      </c>
      <c r="J33" s="7">
        <v>9112</v>
      </c>
    </row>
    <row r="34" spans="1:10" x14ac:dyDescent="0.35">
      <c r="A34" s="6" t="s">
        <v>30</v>
      </c>
      <c r="B34" s="7">
        <v>52870.5</v>
      </c>
      <c r="C34" s="7">
        <v>24932.49</v>
      </c>
      <c r="D34" s="7">
        <v>232</v>
      </c>
      <c r="G34" s="6" t="s">
        <v>30</v>
      </c>
      <c r="H34" s="7">
        <v>8.5714285714285712</v>
      </c>
      <c r="I34" s="7">
        <v>4969.5</v>
      </c>
      <c r="J34" s="7">
        <v>52870.5</v>
      </c>
    </row>
    <row r="35" spans="1:10" x14ac:dyDescent="0.35">
      <c r="A35" s="6" t="s">
        <v>66</v>
      </c>
      <c r="B35" s="7">
        <v>26519</v>
      </c>
      <c r="C35" s="7">
        <v>13017.789999999997</v>
      </c>
      <c r="D35" s="7">
        <v>174</v>
      </c>
      <c r="G35" s="6" t="s">
        <v>66</v>
      </c>
      <c r="H35" s="7">
        <v>9.1666666666666661</v>
      </c>
      <c r="I35" s="7">
        <v>2661</v>
      </c>
      <c r="J35" s="7">
        <v>26519</v>
      </c>
    </row>
    <row r="36" spans="1:10" x14ac:dyDescent="0.35">
      <c r="A36" s="6" t="s">
        <v>84</v>
      </c>
      <c r="B36" s="7">
        <v>21645</v>
      </c>
      <c r="C36" s="7">
        <v>10467.339999999998</v>
      </c>
      <c r="D36" s="7">
        <v>54</v>
      </c>
      <c r="G36" s="6" t="s">
        <v>84</v>
      </c>
      <c r="H36" s="7">
        <v>10.384615384615385</v>
      </c>
      <c r="I36" s="7">
        <v>2655</v>
      </c>
      <c r="J36" s="7">
        <v>21645</v>
      </c>
    </row>
    <row r="37" spans="1:10" x14ac:dyDescent="0.35">
      <c r="A37" s="6" t="s">
        <v>268</v>
      </c>
      <c r="B37" s="7">
        <v>284068.5</v>
      </c>
      <c r="C37" s="7">
        <v>138369.46000000002</v>
      </c>
      <c r="D37" s="7">
        <v>859</v>
      </c>
      <c r="G37" s="6" t="s">
        <v>268</v>
      </c>
      <c r="H37" s="7">
        <v>8.7249999999999996</v>
      </c>
      <c r="I37" s="7">
        <v>25681.5</v>
      </c>
      <c r="J37" s="7">
        <v>284068.5</v>
      </c>
    </row>
    <row r="42" spans="1:10" x14ac:dyDescent="0.35">
      <c r="A42" s="6"/>
      <c r="B42" s="7"/>
      <c r="C42" s="7"/>
      <c r="D42" s="7"/>
      <c r="E42" s="7"/>
    </row>
    <row r="43" spans="1:10" x14ac:dyDescent="0.35">
      <c r="E43" s="7"/>
    </row>
    <row r="45" spans="1:10" x14ac:dyDescent="0.35">
      <c r="A45" s="7"/>
      <c r="B45" s="13" t="s">
        <v>283</v>
      </c>
      <c r="C45" s="14"/>
      <c r="I45" s="9" t="s">
        <v>280</v>
      </c>
      <c r="J45" s="9"/>
    </row>
    <row r="46" spans="1:10" x14ac:dyDescent="0.35">
      <c r="B46" s="14"/>
      <c r="C46" s="14"/>
      <c r="I46" s="9"/>
      <c r="J46" s="9"/>
    </row>
    <row r="47" spans="1:10" x14ac:dyDescent="0.35">
      <c r="A47" s="5" t="s">
        <v>277</v>
      </c>
      <c r="B47" t="s">
        <v>269</v>
      </c>
      <c r="C47" t="s">
        <v>270</v>
      </c>
      <c r="F47" s="5" t="s">
        <v>272</v>
      </c>
      <c r="G47" s="5" t="s">
        <v>273</v>
      </c>
    </row>
    <row r="48" spans="1:10" x14ac:dyDescent="0.35">
      <c r="A48" s="6" t="s">
        <v>24</v>
      </c>
      <c r="B48" s="7">
        <v>9872.7999999999975</v>
      </c>
      <c r="C48" s="7">
        <v>21337.5</v>
      </c>
      <c r="F48" s="5" t="s">
        <v>2</v>
      </c>
      <c r="G48" t="s">
        <v>34</v>
      </c>
      <c r="H48" t="s">
        <v>20</v>
      </c>
      <c r="I48" t="s">
        <v>3</v>
      </c>
      <c r="J48" s="8" t="s">
        <v>268</v>
      </c>
    </row>
    <row r="49" spans="1:10" x14ac:dyDescent="0.35">
      <c r="A49" s="6" t="s">
        <v>37</v>
      </c>
      <c r="B49" s="7">
        <v>16060.049999999997</v>
      </c>
      <c r="C49" s="7">
        <v>32977</v>
      </c>
      <c r="F49" s="6" t="s">
        <v>54</v>
      </c>
      <c r="G49" s="7">
        <v>8</v>
      </c>
      <c r="H49" s="7">
        <v>6</v>
      </c>
      <c r="I49" s="7">
        <v>3</v>
      </c>
      <c r="J49" s="7">
        <v>17</v>
      </c>
    </row>
    <row r="50" spans="1:10" x14ac:dyDescent="0.35">
      <c r="A50" s="6" t="s">
        <v>70</v>
      </c>
      <c r="B50" s="7">
        <v>4336.1299999999992</v>
      </c>
      <c r="C50" s="7">
        <v>8679</v>
      </c>
      <c r="F50" s="6" t="s">
        <v>81</v>
      </c>
      <c r="G50" s="7">
        <v>6</v>
      </c>
      <c r="H50" s="7">
        <v>9</v>
      </c>
      <c r="I50" s="7">
        <v>8</v>
      </c>
      <c r="J50" s="7">
        <v>23</v>
      </c>
    </row>
    <row r="51" spans="1:10" x14ac:dyDescent="0.35">
      <c r="A51" s="6" t="s">
        <v>47</v>
      </c>
      <c r="B51" s="7">
        <v>11780.82</v>
      </c>
      <c r="C51" s="7">
        <v>22663.5</v>
      </c>
      <c r="F51" s="6" t="s">
        <v>63</v>
      </c>
      <c r="G51" s="7">
        <v>12</v>
      </c>
      <c r="H51" s="7">
        <v>10</v>
      </c>
      <c r="I51" s="7">
        <v>3</v>
      </c>
      <c r="J51" s="7">
        <v>25</v>
      </c>
    </row>
    <row r="52" spans="1:10" x14ac:dyDescent="0.35">
      <c r="A52" s="6" t="s">
        <v>113</v>
      </c>
      <c r="B52" s="7">
        <v>14132.189999999999</v>
      </c>
      <c r="C52" s="7">
        <v>30284</v>
      </c>
      <c r="F52" s="6" t="s">
        <v>16</v>
      </c>
      <c r="G52" s="7">
        <v>12</v>
      </c>
      <c r="H52" s="7">
        <v>9</v>
      </c>
      <c r="I52" s="7">
        <v>12</v>
      </c>
      <c r="J52" s="7">
        <v>33</v>
      </c>
    </row>
    <row r="53" spans="1:10" x14ac:dyDescent="0.35">
      <c r="A53" s="6" t="s">
        <v>82</v>
      </c>
      <c r="B53" s="7">
        <v>11723.960000000003</v>
      </c>
      <c r="C53" s="7">
        <v>24360</v>
      </c>
      <c r="D53" s="7"/>
      <c r="F53" s="6" t="s">
        <v>43</v>
      </c>
      <c r="G53" s="7">
        <v>7</v>
      </c>
      <c r="H53" s="7">
        <v>9</v>
      </c>
      <c r="I53" s="7">
        <v>13</v>
      </c>
      <c r="J53" s="7">
        <v>29</v>
      </c>
    </row>
    <row r="54" spans="1:10" x14ac:dyDescent="0.35">
      <c r="A54" s="6" t="s">
        <v>64</v>
      </c>
      <c r="B54" s="7">
        <v>20198.980000000003</v>
      </c>
      <c r="C54" s="7">
        <v>40889</v>
      </c>
      <c r="F54" s="6" t="s">
        <v>112</v>
      </c>
      <c r="G54" s="7">
        <v>4</v>
      </c>
      <c r="H54" s="7">
        <v>8</v>
      </c>
      <c r="I54" s="7">
        <v>5</v>
      </c>
      <c r="J54" s="7">
        <v>17</v>
      </c>
    </row>
    <row r="55" spans="1:10" x14ac:dyDescent="0.35">
      <c r="A55" s="6" t="s">
        <v>55</v>
      </c>
      <c r="B55" s="7">
        <v>6526.7400000000007</v>
      </c>
      <c r="C55" s="7">
        <v>12999.5</v>
      </c>
      <c r="F55" s="6" t="s">
        <v>23</v>
      </c>
      <c r="G55" s="7">
        <v>9</v>
      </c>
      <c r="H55" s="7">
        <v>12</v>
      </c>
      <c r="I55" s="7">
        <v>10</v>
      </c>
      <c r="J55" s="7">
        <v>31</v>
      </c>
    </row>
    <row r="56" spans="1:10" x14ac:dyDescent="0.35">
      <c r="A56" s="6" t="s">
        <v>17</v>
      </c>
      <c r="B56" s="7">
        <v>18958.27</v>
      </c>
      <c r="C56" s="7">
        <v>38051</v>
      </c>
      <c r="F56" s="6" t="s">
        <v>36</v>
      </c>
      <c r="G56" s="7">
        <v>7</v>
      </c>
      <c r="H56" s="7">
        <v>7</v>
      </c>
      <c r="I56" s="7">
        <v>11</v>
      </c>
      <c r="J56" s="7">
        <v>25</v>
      </c>
    </row>
    <row r="57" spans="1:10" x14ac:dyDescent="0.35">
      <c r="A57" s="6" t="s">
        <v>44</v>
      </c>
      <c r="B57" s="7">
        <v>13877.079999999998</v>
      </c>
      <c r="C57" s="7">
        <v>28958.5</v>
      </c>
      <c r="F57" s="6" t="s">
        <v>268</v>
      </c>
      <c r="G57" s="7">
        <v>65</v>
      </c>
      <c r="H57" s="7">
        <v>70</v>
      </c>
      <c r="I57" s="7">
        <v>65</v>
      </c>
      <c r="J57" s="7">
        <v>200</v>
      </c>
    </row>
    <row r="58" spans="1:10" x14ac:dyDescent="0.35">
      <c r="A58" s="6" t="s">
        <v>28</v>
      </c>
      <c r="B58" s="7">
        <v>10902.44</v>
      </c>
      <c r="C58" s="7">
        <v>22869.5</v>
      </c>
    </row>
    <row r="59" spans="1:10" x14ac:dyDescent="0.35">
      <c r="A59" s="6" t="s">
        <v>268</v>
      </c>
      <c r="B59" s="7">
        <v>138369.46</v>
      </c>
      <c r="C59" s="7">
        <v>284068.5</v>
      </c>
    </row>
    <row r="60" spans="1:10" x14ac:dyDescent="0.35">
      <c r="B60">
        <f>GETPIVOTDATA("Sum of Profit",$A$47)</f>
        <v>138369.46</v>
      </c>
    </row>
  </sheetData>
  <mergeCells count="6">
    <mergeCell ref="D2:E3"/>
    <mergeCell ref="I45:J46"/>
    <mergeCell ref="B28:C29"/>
    <mergeCell ref="H28:I29"/>
    <mergeCell ref="B45:C46"/>
    <mergeCell ref="E16:G17"/>
  </mergeCells>
  <pageMargins left="0.7" right="0.7" top="0.75" bottom="0.75" header="0.3" footer="0.3"/>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9D88-3A62-4AC4-9F57-EC0F5DCA4338}">
  <dimension ref="F2:P68"/>
  <sheetViews>
    <sheetView showGridLines="0" tabSelected="1" topLeftCell="A9" workbookViewId="0">
      <selection activeCell="O3" sqref="O3"/>
    </sheetView>
  </sheetViews>
  <sheetFormatPr defaultRowHeight="14.5" x14ac:dyDescent="0.35"/>
  <cols>
    <col min="1" max="4" width="8.7265625" style="20"/>
    <col min="5" max="5" width="8.26953125" style="20" customWidth="1"/>
    <col min="6" max="7" width="8.7265625" style="20"/>
    <col min="8" max="8" width="10.08984375" style="20" customWidth="1"/>
    <col min="9" max="12" width="8.7265625" style="20"/>
    <col min="13" max="13" width="10.7265625" style="20" bestFit="1" customWidth="1"/>
    <col min="14" max="14" width="19.6328125" style="20" bestFit="1" customWidth="1"/>
    <col min="15" max="15" width="22" style="20" bestFit="1" customWidth="1"/>
    <col min="16" max="16" width="14.81640625" style="20" bestFit="1" customWidth="1"/>
    <col min="17" max="16384" width="8.7265625" style="20"/>
  </cols>
  <sheetData>
    <row r="2" spans="6:16" ht="18.5" customHeight="1" x14ac:dyDescent="0.35">
      <c r="F2" s="19"/>
      <c r="G2" s="19"/>
      <c r="H2" s="19"/>
      <c r="N2" s="19"/>
      <c r="O2" s="19"/>
      <c r="P2" s="19"/>
    </row>
    <row r="3" spans="6:16" ht="14.5" customHeight="1" x14ac:dyDescent="0.35">
      <c r="F3" s="19"/>
      <c r="G3" s="19"/>
      <c r="H3" s="19"/>
      <c r="N3" s="19"/>
      <c r="O3" s="19"/>
      <c r="P3" s="19"/>
    </row>
    <row r="4" spans="6:16" ht="14.5" customHeight="1" x14ac:dyDescent="0.35">
      <c r="O4" s="19"/>
      <c r="P4" s="19"/>
    </row>
    <row r="5" spans="6:16" ht="14.5" customHeight="1" x14ac:dyDescent="0.35">
      <c r="O5" s="19"/>
      <c r="P5" s="19"/>
    </row>
    <row r="6" spans="6:16" ht="14.5" customHeight="1" x14ac:dyDescent="0.35">
      <c r="O6" s="19"/>
      <c r="P6" s="19"/>
    </row>
    <row r="7" spans="6:16" ht="14.5" customHeight="1" x14ac:dyDescent="0.35">
      <c r="O7" s="19"/>
      <c r="P7" s="19"/>
    </row>
    <row r="8" spans="6:16" ht="14.5" customHeight="1" x14ac:dyDescent="0.35">
      <c r="O8" s="19"/>
      <c r="P8" s="19"/>
    </row>
    <row r="59" spans="13:16" x14ac:dyDescent="0.35">
      <c r="M59" s="16"/>
      <c r="N59" s="15" t="s">
        <v>282</v>
      </c>
      <c r="O59" s="15"/>
      <c r="P59" s="16"/>
    </row>
    <row r="60" spans="13:16" x14ac:dyDescent="0.35">
      <c r="M60" s="17"/>
      <c r="N60" s="15"/>
      <c r="O60" s="15"/>
      <c r="P60" s="17"/>
    </row>
    <row r="61" spans="13:16" x14ac:dyDescent="0.35">
      <c r="M61" s="21" t="s">
        <v>5</v>
      </c>
      <c r="N61" s="17" t="s">
        <v>274</v>
      </c>
      <c r="O61" s="17" t="s">
        <v>275</v>
      </c>
      <c r="P61" s="17" t="s">
        <v>270</v>
      </c>
    </row>
    <row r="62" spans="13:16" x14ac:dyDescent="0.35">
      <c r="M62" s="18" t="s">
        <v>49</v>
      </c>
      <c r="N62" s="16">
        <v>10.681818181818182</v>
      </c>
      <c r="O62" s="16">
        <v>2123</v>
      </c>
      <c r="P62" s="16">
        <v>17337</v>
      </c>
    </row>
    <row r="63" spans="13:16" x14ac:dyDescent="0.35">
      <c r="M63" s="18" t="s">
        <v>19</v>
      </c>
      <c r="N63" s="16">
        <v>7.9411764705882355</v>
      </c>
      <c r="O63" s="16">
        <v>12515</v>
      </c>
      <c r="P63" s="16">
        <v>156585</v>
      </c>
    </row>
    <row r="64" spans="13:16" x14ac:dyDescent="0.35">
      <c r="M64" s="18" t="s">
        <v>57</v>
      </c>
      <c r="N64" s="16">
        <v>7.1739130434782608</v>
      </c>
      <c r="O64" s="16">
        <v>758</v>
      </c>
      <c r="P64" s="16">
        <v>9112</v>
      </c>
    </row>
    <row r="65" spans="13:16" x14ac:dyDescent="0.35">
      <c r="M65" s="18" t="s">
        <v>30</v>
      </c>
      <c r="N65" s="16">
        <v>8.5714285714285712</v>
      </c>
      <c r="O65" s="16">
        <v>4969.5</v>
      </c>
      <c r="P65" s="16">
        <v>52870.5</v>
      </c>
    </row>
    <row r="66" spans="13:16" x14ac:dyDescent="0.35">
      <c r="M66" s="18" t="s">
        <v>66</v>
      </c>
      <c r="N66" s="16">
        <v>9.1666666666666661</v>
      </c>
      <c r="O66" s="16">
        <v>2661</v>
      </c>
      <c r="P66" s="16">
        <v>26519</v>
      </c>
    </row>
    <row r="67" spans="13:16" x14ac:dyDescent="0.35">
      <c r="M67" s="18" t="s">
        <v>84</v>
      </c>
      <c r="N67" s="16">
        <v>10.384615384615385</v>
      </c>
      <c r="O67" s="16">
        <v>2655</v>
      </c>
      <c r="P67" s="16">
        <v>21645</v>
      </c>
    </row>
    <row r="68" spans="13:16" x14ac:dyDescent="0.35">
      <c r="M68" s="18" t="s">
        <v>268</v>
      </c>
      <c r="N68" s="16">
        <v>8.7249999999999996</v>
      </c>
      <c r="O68" s="16">
        <v>25681.5</v>
      </c>
      <c r="P68" s="16">
        <v>284068.5</v>
      </c>
    </row>
  </sheetData>
  <mergeCells count="1">
    <mergeCell ref="N59:O60"/>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1"/>
  <sheetViews>
    <sheetView topLeftCell="E1" workbookViewId="0">
      <pane ySplit="1" topLeftCell="A184" activePane="bottomLeft" state="frozen"/>
      <selection pane="bottomLeft" activeCell="F201" sqref="F201"/>
    </sheetView>
  </sheetViews>
  <sheetFormatPr defaultRowHeight="14.5" x14ac:dyDescent="0.35"/>
  <cols>
    <col min="1" max="2" width="13" customWidth="1"/>
    <col min="3" max="3" width="14" customWidth="1"/>
    <col min="4" max="5" width="28" customWidth="1"/>
    <col min="6" max="6" width="15" customWidth="1"/>
    <col min="7" max="7" width="10" customWidth="1"/>
    <col min="8" max="8" width="13" customWidth="1"/>
    <col min="9" max="9" width="12" customWidth="1"/>
    <col min="10" max="10" width="17" customWidth="1"/>
    <col min="11" max="13" width="13" customWidth="1"/>
    <col min="14" max="15" width="16"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15</v>
      </c>
      <c r="B2" s="2">
        <v>46023</v>
      </c>
      <c r="C2" t="s">
        <v>16</v>
      </c>
      <c r="D2" t="s">
        <v>17</v>
      </c>
      <c r="E2" t="s">
        <v>18</v>
      </c>
      <c r="F2" t="s">
        <v>19</v>
      </c>
      <c r="G2">
        <v>8</v>
      </c>
      <c r="H2" s="3">
        <v>950</v>
      </c>
      <c r="I2" s="4">
        <v>15</v>
      </c>
      <c r="J2" s="3">
        <v>1140</v>
      </c>
      <c r="K2" s="3">
        <v>6460</v>
      </c>
      <c r="L2" s="3">
        <v>3382.02</v>
      </c>
      <c r="M2" s="3">
        <v>3077.98</v>
      </c>
      <c r="N2" t="s">
        <v>20</v>
      </c>
      <c r="O2" t="s">
        <v>21</v>
      </c>
    </row>
    <row r="3" spans="1:15" x14ac:dyDescent="0.35">
      <c r="A3" t="s">
        <v>22</v>
      </c>
      <c r="B3" s="2">
        <v>46024</v>
      </c>
      <c r="C3" t="s">
        <v>23</v>
      </c>
      <c r="D3" t="s">
        <v>24</v>
      </c>
      <c r="E3" t="s">
        <v>25</v>
      </c>
      <c r="F3" t="s">
        <v>19</v>
      </c>
      <c r="G3">
        <v>7</v>
      </c>
      <c r="H3" s="3">
        <v>750</v>
      </c>
      <c r="I3" s="4">
        <v>15</v>
      </c>
      <c r="J3" s="3">
        <v>787.5</v>
      </c>
      <c r="K3" s="3">
        <v>4462.5</v>
      </c>
      <c r="L3" s="3">
        <v>2467.63</v>
      </c>
      <c r="M3" s="3">
        <v>1994.87</v>
      </c>
      <c r="N3" t="s">
        <v>20</v>
      </c>
      <c r="O3" t="s">
        <v>26</v>
      </c>
    </row>
    <row r="4" spans="1:15" x14ac:dyDescent="0.35">
      <c r="A4" t="s">
        <v>27</v>
      </c>
      <c r="B4" s="2">
        <v>46024</v>
      </c>
      <c r="C4" t="s">
        <v>23</v>
      </c>
      <c r="D4" t="s">
        <v>28</v>
      </c>
      <c r="E4" t="s">
        <v>29</v>
      </c>
      <c r="F4" t="s">
        <v>30</v>
      </c>
      <c r="G4">
        <v>8</v>
      </c>
      <c r="H4" s="3">
        <v>280</v>
      </c>
      <c r="I4" s="4">
        <v>15</v>
      </c>
      <c r="J4" s="3">
        <v>336</v>
      </c>
      <c r="K4" s="3">
        <v>1904</v>
      </c>
      <c r="L4" s="3">
        <v>1161.8900000000001</v>
      </c>
      <c r="M4" s="3">
        <v>742.11</v>
      </c>
      <c r="N4" t="s">
        <v>3</v>
      </c>
      <c r="O4" t="s">
        <v>31</v>
      </c>
    </row>
    <row r="5" spans="1:15" x14ac:dyDescent="0.35">
      <c r="A5" t="s">
        <v>32</v>
      </c>
      <c r="B5" s="2">
        <v>46028</v>
      </c>
      <c r="C5" t="s">
        <v>23</v>
      </c>
      <c r="D5" t="s">
        <v>28</v>
      </c>
      <c r="E5" t="s">
        <v>33</v>
      </c>
      <c r="F5" t="s">
        <v>19</v>
      </c>
      <c r="G5">
        <v>5</v>
      </c>
      <c r="H5" s="3">
        <v>900</v>
      </c>
      <c r="I5" s="4">
        <v>10</v>
      </c>
      <c r="J5" s="3">
        <v>450</v>
      </c>
      <c r="K5" s="3">
        <v>4050</v>
      </c>
      <c r="L5" s="3">
        <v>1842.46</v>
      </c>
      <c r="M5" s="3">
        <v>2207.54</v>
      </c>
      <c r="N5" t="s">
        <v>34</v>
      </c>
      <c r="O5" t="s">
        <v>21</v>
      </c>
    </row>
    <row r="6" spans="1:15" x14ac:dyDescent="0.35">
      <c r="A6" t="s">
        <v>35</v>
      </c>
      <c r="B6" s="2">
        <v>46029</v>
      </c>
      <c r="C6" t="s">
        <v>36</v>
      </c>
      <c r="D6" t="s">
        <v>37</v>
      </c>
      <c r="E6" t="s">
        <v>38</v>
      </c>
      <c r="F6" t="s">
        <v>30</v>
      </c>
      <c r="G6">
        <v>4</v>
      </c>
      <c r="H6" s="3">
        <v>220</v>
      </c>
      <c r="I6" s="4">
        <v>10</v>
      </c>
      <c r="J6" s="3">
        <v>88</v>
      </c>
      <c r="K6" s="3">
        <v>792</v>
      </c>
      <c r="L6" s="3">
        <v>427.93</v>
      </c>
      <c r="M6" s="3">
        <v>364.07</v>
      </c>
      <c r="N6" t="s">
        <v>20</v>
      </c>
      <c r="O6" t="s">
        <v>39</v>
      </c>
    </row>
    <row r="7" spans="1:15" x14ac:dyDescent="0.35">
      <c r="A7" t="s">
        <v>40</v>
      </c>
      <c r="B7" s="2">
        <v>46031</v>
      </c>
      <c r="C7" t="s">
        <v>36</v>
      </c>
      <c r="D7" t="s">
        <v>37</v>
      </c>
      <c r="E7" t="s">
        <v>25</v>
      </c>
      <c r="F7" t="s">
        <v>19</v>
      </c>
      <c r="G7">
        <v>6</v>
      </c>
      <c r="H7" s="3">
        <v>750</v>
      </c>
      <c r="I7" s="4">
        <v>0</v>
      </c>
      <c r="J7" s="3">
        <v>0</v>
      </c>
      <c r="K7" s="3">
        <v>4500</v>
      </c>
      <c r="L7" s="3">
        <v>2515.3200000000002</v>
      </c>
      <c r="M7" s="3">
        <v>1984.68</v>
      </c>
      <c r="N7" t="s">
        <v>34</v>
      </c>
      <c r="O7" t="s">
        <v>41</v>
      </c>
    </row>
    <row r="8" spans="1:15" x14ac:dyDescent="0.35">
      <c r="A8" t="s">
        <v>42</v>
      </c>
      <c r="B8" s="2">
        <v>46031</v>
      </c>
      <c r="C8" t="s">
        <v>43</v>
      </c>
      <c r="D8" t="s">
        <v>44</v>
      </c>
      <c r="E8" t="s">
        <v>45</v>
      </c>
      <c r="F8" t="s">
        <v>30</v>
      </c>
      <c r="G8">
        <v>1</v>
      </c>
      <c r="H8" s="3">
        <v>250</v>
      </c>
      <c r="I8" s="4">
        <v>5</v>
      </c>
      <c r="J8" s="3">
        <v>12.5</v>
      </c>
      <c r="K8" s="3">
        <v>237.5</v>
      </c>
      <c r="L8" s="3">
        <v>138.85</v>
      </c>
      <c r="M8" s="3">
        <v>98.65</v>
      </c>
      <c r="N8" t="s">
        <v>20</v>
      </c>
      <c r="O8" t="s">
        <v>41</v>
      </c>
    </row>
    <row r="9" spans="1:15" x14ac:dyDescent="0.35">
      <c r="A9" t="s">
        <v>46</v>
      </c>
      <c r="B9" s="2">
        <v>46034</v>
      </c>
      <c r="C9" t="s">
        <v>16</v>
      </c>
      <c r="D9" t="s">
        <v>47</v>
      </c>
      <c r="E9" t="s">
        <v>48</v>
      </c>
      <c r="F9" t="s">
        <v>49</v>
      </c>
      <c r="G9">
        <v>8</v>
      </c>
      <c r="H9" s="3">
        <v>220</v>
      </c>
      <c r="I9" s="4">
        <v>5</v>
      </c>
      <c r="J9" s="3">
        <v>88</v>
      </c>
      <c r="K9" s="3">
        <v>1672</v>
      </c>
      <c r="L9" s="3">
        <v>928.06</v>
      </c>
      <c r="M9" s="3">
        <v>743.94</v>
      </c>
      <c r="N9" t="s">
        <v>34</v>
      </c>
      <c r="O9" t="s">
        <v>39</v>
      </c>
    </row>
    <row r="10" spans="1:15" x14ac:dyDescent="0.35">
      <c r="A10" t="s">
        <v>50</v>
      </c>
      <c r="B10" s="2">
        <v>46035</v>
      </c>
      <c r="C10" t="s">
        <v>36</v>
      </c>
      <c r="D10" t="s">
        <v>37</v>
      </c>
      <c r="E10" t="s">
        <v>38</v>
      </c>
      <c r="F10" t="s">
        <v>30</v>
      </c>
      <c r="G10">
        <v>5</v>
      </c>
      <c r="H10" s="3">
        <v>220</v>
      </c>
      <c r="I10" s="4">
        <v>0</v>
      </c>
      <c r="J10" s="3">
        <v>0</v>
      </c>
      <c r="K10" s="3">
        <v>1100</v>
      </c>
      <c r="L10" s="3">
        <v>597.55999999999995</v>
      </c>
      <c r="M10" s="3">
        <v>502.44</v>
      </c>
      <c r="N10" t="s">
        <v>3</v>
      </c>
      <c r="O10" t="s">
        <v>21</v>
      </c>
    </row>
    <row r="11" spans="1:15" x14ac:dyDescent="0.35">
      <c r="A11" t="s">
        <v>51</v>
      </c>
      <c r="B11" s="2">
        <v>46035</v>
      </c>
      <c r="C11" t="s">
        <v>16</v>
      </c>
      <c r="D11" t="s">
        <v>47</v>
      </c>
      <c r="E11" t="s">
        <v>52</v>
      </c>
      <c r="F11" t="s">
        <v>19</v>
      </c>
      <c r="G11">
        <v>2</v>
      </c>
      <c r="H11" s="3">
        <v>850</v>
      </c>
      <c r="I11" s="4">
        <v>15</v>
      </c>
      <c r="J11" s="3">
        <v>255</v>
      </c>
      <c r="K11" s="3">
        <v>1445</v>
      </c>
      <c r="L11" s="3">
        <v>838.53</v>
      </c>
      <c r="M11" s="3">
        <v>606.47</v>
      </c>
      <c r="N11" t="s">
        <v>34</v>
      </c>
      <c r="O11" t="s">
        <v>26</v>
      </c>
    </row>
    <row r="12" spans="1:15" x14ac:dyDescent="0.35">
      <c r="A12" t="s">
        <v>53</v>
      </c>
      <c r="B12" s="2">
        <v>46035</v>
      </c>
      <c r="C12" t="s">
        <v>54</v>
      </c>
      <c r="D12" t="s">
        <v>55</v>
      </c>
      <c r="E12" t="s">
        <v>56</v>
      </c>
      <c r="F12" t="s">
        <v>57</v>
      </c>
      <c r="G12">
        <v>6</v>
      </c>
      <c r="H12" s="3">
        <v>90</v>
      </c>
      <c r="I12" s="4">
        <v>0</v>
      </c>
      <c r="J12" s="3">
        <v>0</v>
      </c>
      <c r="K12" s="3">
        <v>540</v>
      </c>
      <c r="L12" s="3">
        <v>256.04000000000002</v>
      </c>
      <c r="M12" s="3">
        <v>283.95999999999998</v>
      </c>
      <c r="N12" t="s">
        <v>34</v>
      </c>
      <c r="O12" t="s">
        <v>31</v>
      </c>
    </row>
    <row r="13" spans="1:15" x14ac:dyDescent="0.35">
      <c r="A13" t="s">
        <v>58</v>
      </c>
      <c r="B13" s="2">
        <v>46035</v>
      </c>
      <c r="C13" t="s">
        <v>43</v>
      </c>
      <c r="D13" t="s">
        <v>44</v>
      </c>
      <c r="E13" t="s">
        <v>25</v>
      </c>
      <c r="F13" t="s">
        <v>19</v>
      </c>
      <c r="G13">
        <v>1</v>
      </c>
      <c r="H13" s="3">
        <v>750</v>
      </c>
      <c r="I13" s="4">
        <v>10</v>
      </c>
      <c r="J13" s="3">
        <v>75</v>
      </c>
      <c r="K13" s="3">
        <v>675</v>
      </c>
      <c r="L13" s="3">
        <v>314.72000000000003</v>
      </c>
      <c r="M13" s="3">
        <v>360.28</v>
      </c>
      <c r="N13" t="s">
        <v>34</v>
      </c>
      <c r="O13" t="s">
        <v>26</v>
      </c>
    </row>
    <row r="14" spans="1:15" x14ac:dyDescent="0.35">
      <c r="A14" t="s">
        <v>59</v>
      </c>
      <c r="B14" s="2">
        <v>46037</v>
      </c>
      <c r="C14" t="s">
        <v>43</v>
      </c>
      <c r="D14" t="s">
        <v>44</v>
      </c>
      <c r="E14" t="s">
        <v>45</v>
      </c>
      <c r="F14" t="s">
        <v>30</v>
      </c>
      <c r="G14">
        <v>5</v>
      </c>
      <c r="H14" s="3">
        <v>250</v>
      </c>
      <c r="I14" s="4">
        <v>15</v>
      </c>
      <c r="J14" s="3">
        <v>187.5</v>
      </c>
      <c r="K14" s="3">
        <v>1062.5</v>
      </c>
      <c r="L14" s="3">
        <v>560.9</v>
      </c>
      <c r="M14" s="3">
        <v>501.6</v>
      </c>
      <c r="N14" t="s">
        <v>34</v>
      </c>
      <c r="O14" t="s">
        <v>31</v>
      </c>
    </row>
    <row r="15" spans="1:15" x14ac:dyDescent="0.35">
      <c r="A15" t="s">
        <v>60</v>
      </c>
      <c r="B15" s="2">
        <v>46037</v>
      </c>
      <c r="C15" t="s">
        <v>43</v>
      </c>
      <c r="D15" t="s">
        <v>44</v>
      </c>
      <c r="E15" t="s">
        <v>61</v>
      </c>
      <c r="F15" t="s">
        <v>57</v>
      </c>
      <c r="G15">
        <v>4</v>
      </c>
      <c r="H15" s="3">
        <v>100</v>
      </c>
      <c r="I15" s="4">
        <v>5</v>
      </c>
      <c r="J15" s="3">
        <v>20</v>
      </c>
      <c r="K15" s="3">
        <v>380</v>
      </c>
      <c r="L15" s="3">
        <v>204.12</v>
      </c>
      <c r="M15" s="3">
        <v>175.88</v>
      </c>
      <c r="N15" t="s">
        <v>20</v>
      </c>
      <c r="O15" t="s">
        <v>26</v>
      </c>
    </row>
    <row r="16" spans="1:15" x14ac:dyDescent="0.35">
      <c r="A16" t="s">
        <v>62</v>
      </c>
      <c r="B16" s="2">
        <v>46040</v>
      </c>
      <c r="C16" t="s">
        <v>63</v>
      </c>
      <c r="D16" t="s">
        <v>64</v>
      </c>
      <c r="E16" t="s">
        <v>65</v>
      </c>
      <c r="F16" t="s">
        <v>66</v>
      </c>
      <c r="G16">
        <v>1</v>
      </c>
      <c r="H16" s="3">
        <v>190</v>
      </c>
      <c r="I16" s="4">
        <v>10</v>
      </c>
      <c r="J16" s="3">
        <v>19</v>
      </c>
      <c r="K16" s="3">
        <v>171</v>
      </c>
      <c r="L16" s="3">
        <v>73.27</v>
      </c>
      <c r="M16" s="3">
        <v>97.73</v>
      </c>
      <c r="N16" t="s">
        <v>34</v>
      </c>
      <c r="O16" t="s">
        <v>39</v>
      </c>
    </row>
    <row r="17" spans="1:15" x14ac:dyDescent="0.35">
      <c r="A17" t="s">
        <v>67</v>
      </c>
      <c r="B17" s="2">
        <v>46042</v>
      </c>
      <c r="C17" t="s">
        <v>54</v>
      </c>
      <c r="D17" t="s">
        <v>55</v>
      </c>
      <c r="E17" t="s">
        <v>68</v>
      </c>
      <c r="F17" t="s">
        <v>66</v>
      </c>
      <c r="G17">
        <v>8</v>
      </c>
      <c r="H17" s="3">
        <v>160</v>
      </c>
      <c r="I17" s="4">
        <v>5</v>
      </c>
      <c r="J17" s="3">
        <v>64</v>
      </c>
      <c r="K17" s="3">
        <v>1216</v>
      </c>
      <c r="L17" s="3">
        <v>583.91</v>
      </c>
      <c r="M17" s="3">
        <v>632.09</v>
      </c>
      <c r="N17" t="s">
        <v>20</v>
      </c>
      <c r="O17" t="s">
        <v>39</v>
      </c>
    </row>
    <row r="18" spans="1:15" x14ac:dyDescent="0.35">
      <c r="A18" t="s">
        <v>69</v>
      </c>
      <c r="B18" s="2">
        <v>46042</v>
      </c>
      <c r="C18" t="s">
        <v>54</v>
      </c>
      <c r="D18" t="s">
        <v>70</v>
      </c>
      <c r="E18" t="s">
        <v>65</v>
      </c>
      <c r="F18" t="s">
        <v>66</v>
      </c>
      <c r="G18">
        <v>2</v>
      </c>
      <c r="H18" s="3">
        <v>190</v>
      </c>
      <c r="I18" s="4">
        <v>0</v>
      </c>
      <c r="J18" s="3">
        <v>0</v>
      </c>
      <c r="K18" s="3">
        <v>380</v>
      </c>
      <c r="L18" s="3">
        <v>171.78</v>
      </c>
      <c r="M18" s="3">
        <v>208.22</v>
      </c>
      <c r="N18" t="s">
        <v>34</v>
      </c>
      <c r="O18" t="s">
        <v>21</v>
      </c>
    </row>
    <row r="19" spans="1:15" x14ac:dyDescent="0.35">
      <c r="A19" t="s">
        <v>71</v>
      </c>
      <c r="B19" s="2">
        <v>46047</v>
      </c>
      <c r="C19" t="s">
        <v>43</v>
      </c>
      <c r="D19" t="s">
        <v>44</v>
      </c>
      <c r="E19" t="s">
        <v>45</v>
      </c>
      <c r="F19" t="s">
        <v>30</v>
      </c>
      <c r="G19">
        <v>5</v>
      </c>
      <c r="H19" s="3">
        <v>250</v>
      </c>
      <c r="I19" s="4">
        <v>0</v>
      </c>
      <c r="J19" s="3">
        <v>0</v>
      </c>
      <c r="K19" s="3">
        <v>1250</v>
      </c>
      <c r="L19" s="3">
        <v>710.9</v>
      </c>
      <c r="M19" s="3">
        <v>539.1</v>
      </c>
      <c r="N19" t="s">
        <v>20</v>
      </c>
      <c r="O19" t="s">
        <v>26</v>
      </c>
    </row>
    <row r="20" spans="1:15" x14ac:dyDescent="0.35">
      <c r="A20" t="s">
        <v>72</v>
      </c>
      <c r="B20" s="2">
        <v>46050</v>
      </c>
      <c r="C20" t="s">
        <v>36</v>
      </c>
      <c r="D20" t="s">
        <v>37</v>
      </c>
      <c r="E20" t="s">
        <v>65</v>
      </c>
      <c r="F20" t="s">
        <v>66</v>
      </c>
      <c r="G20">
        <v>7</v>
      </c>
      <c r="H20" s="3">
        <v>190</v>
      </c>
      <c r="I20" s="4">
        <v>10</v>
      </c>
      <c r="J20" s="3">
        <v>133</v>
      </c>
      <c r="K20" s="3">
        <v>1197</v>
      </c>
      <c r="L20" s="3">
        <v>554.54</v>
      </c>
      <c r="M20" s="3">
        <v>642.46</v>
      </c>
      <c r="N20" t="s">
        <v>20</v>
      </c>
      <c r="O20" t="s">
        <v>26</v>
      </c>
    </row>
    <row r="21" spans="1:15" x14ac:dyDescent="0.35">
      <c r="A21" t="s">
        <v>73</v>
      </c>
      <c r="B21" s="2">
        <v>46052</v>
      </c>
      <c r="C21" t="s">
        <v>23</v>
      </c>
      <c r="D21" t="s">
        <v>24</v>
      </c>
      <c r="E21" t="s">
        <v>61</v>
      </c>
      <c r="F21" t="s">
        <v>57</v>
      </c>
      <c r="G21">
        <v>4</v>
      </c>
      <c r="H21" s="3">
        <v>100</v>
      </c>
      <c r="I21" s="4">
        <v>0</v>
      </c>
      <c r="J21" s="3">
        <v>0</v>
      </c>
      <c r="K21" s="3">
        <v>400</v>
      </c>
      <c r="L21" s="3">
        <v>176.03</v>
      </c>
      <c r="M21" s="3">
        <v>223.97</v>
      </c>
      <c r="N21" t="s">
        <v>20</v>
      </c>
      <c r="O21" t="s">
        <v>41</v>
      </c>
    </row>
    <row r="22" spans="1:15" x14ac:dyDescent="0.35">
      <c r="A22" t="s">
        <v>74</v>
      </c>
      <c r="B22" s="2">
        <v>46053</v>
      </c>
      <c r="C22" t="s">
        <v>16</v>
      </c>
      <c r="D22" t="s">
        <v>47</v>
      </c>
      <c r="E22" t="s">
        <v>75</v>
      </c>
      <c r="F22" t="s">
        <v>19</v>
      </c>
      <c r="G22">
        <v>1</v>
      </c>
      <c r="H22" s="3">
        <v>800</v>
      </c>
      <c r="I22" s="4">
        <v>10</v>
      </c>
      <c r="J22" s="3">
        <v>80</v>
      </c>
      <c r="K22" s="3">
        <v>720</v>
      </c>
      <c r="L22" s="3">
        <v>409.71</v>
      </c>
      <c r="M22" s="3">
        <v>310.29000000000002</v>
      </c>
      <c r="N22" t="s">
        <v>20</v>
      </c>
      <c r="O22" t="s">
        <v>41</v>
      </c>
    </row>
    <row r="23" spans="1:15" x14ac:dyDescent="0.35">
      <c r="A23" t="s">
        <v>76</v>
      </c>
      <c r="B23" s="2">
        <v>46055</v>
      </c>
      <c r="C23" t="s">
        <v>16</v>
      </c>
      <c r="D23" t="s">
        <v>47</v>
      </c>
      <c r="E23" t="s">
        <v>75</v>
      </c>
      <c r="F23" t="s">
        <v>19</v>
      </c>
      <c r="G23">
        <v>3</v>
      </c>
      <c r="H23" s="3">
        <v>800</v>
      </c>
      <c r="I23" s="4">
        <v>0</v>
      </c>
      <c r="J23" s="3">
        <v>0</v>
      </c>
      <c r="K23" s="3">
        <v>2400</v>
      </c>
      <c r="L23" s="3">
        <v>1066.48</v>
      </c>
      <c r="M23" s="3">
        <v>1333.52</v>
      </c>
      <c r="N23" t="s">
        <v>3</v>
      </c>
      <c r="O23" t="s">
        <v>31</v>
      </c>
    </row>
    <row r="24" spans="1:15" x14ac:dyDescent="0.35">
      <c r="A24" t="s">
        <v>77</v>
      </c>
      <c r="B24" s="2">
        <v>46056</v>
      </c>
      <c r="C24" t="s">
        <v>63</v>
      </c>
      <c r="D24" t="s">
        <v>64</v>
      </c>
      <c r="E24" t="s">
        <v>52</v>
      </c>
      <c r="F24" t="s">
        <v>19</v>
      </c>
      <c r="G24">
        <v>3</v>
      </c>
      <c r="H24" s="3">
        <v>850</v>
      </c>
      <c r="I24" s="4">
        <v>0</v>
      </c>
      <c r="J24" s="3">
        <v>0</v>
      </c>
      <c r="K24" s="3">
        <v>2550</v>
      </c>
      <c r="L24" s="3">
        <v>1075.72</v>
      </c>
      <c r="M24" s="3">
        <v>1474.28</v>
      </c>
      <c r="N24" t="s">
        <v>34</v>
      </c>
      <c r="O24" t="s">
        <v>31</v>
      </c>
    </row>
    <row r="25" spans="1:15" x14ac:dyDescent="0.35">
      <c r="A25" t="s">
        <v>78</v>
      </c>
      <c r="B25" s="2">
        <v>46058</v>
      </c>
      <c r="C25" t="s">
        <v>43</v>
      </c>
      <c r="D25" t="s">
        <v>44</v>
      </c>
      <c r="E25" t="s">
        <v>68</v>
      </c>
      <c r="F25" t="s">
        <v>66</v>
      </c>
      <c r="G25">
        <v>4</v>
      </c>
      <c r="H25" s="3">
        <v>160</v>
      </c>
      <c r="I25" s="4">
        <v>0</v>
      </c>
      <c r="J25" s="3">
        <v>0</v>
      </c>
      <c r="K25" s="3">
        <v>640</v>
      </c>
      <c r="L25" s="3">
        <v>307.37</v>
      </c>
      <c r="M25" s="3">
        <v>332.63</v>
      </c>
      <c r="N25" t="s">
        <v>20</v>
      </c>
      <c r="O25" t="s">
        <v>21</v>
      </c>
    </row>
    <row r="26" spans="1:15" x14ac:dyDescent="0.35">
      <c r="A26" t="s">
        <v>79</v>
      </c>
      <c r="B26" s="2">
        <v>46059</v>
      </c>
      <c r="C26" t="s">
        <v>43</v>
      </c>
      <c r="D26" t="s">
        <v>44</v>
      </c>
      <c r="E26" t="s">
        <v>38</v>
      </c>
      <c r="F26" t="s">
        <v>30</v>
      </c>
      <c r="G26">
        <v>8</v>
      </c>
      <c r="H26" s="3">
        <v>220</v>
      </c>
      <c r="I26" s="4">
        <v>5</v>
      </c>
      <c r="J26" s="3">
        <v>88</v>
      </c>
      <c r="K26" s="3">
        <v>1672</v>
      </c>
      <c r="L26" s="3">
        <v>874.32</v>
      </c>
      <c r="M26" s="3">
        <v>797.68</v>
      </c>
      <c r="N26" t="s">
        <v>3</v>
      </c>
      <c r="O26" t="s">
        <v>39</v>
      </c>
    </row>
    <row r="27" spans="1:15" x14ac:dyDescent="0.35">
      <c r="A27" t="s">
        <v>80</v>
      </c>
      <c r="B27" s="2">
        <v>46060</v>
      </c>
      <c r="C27" t="s">
        <v>81</v>
      </c>
      <c r="D27" t="s">
        <v>82</v>
      </c>
      <c r="E27" t="s">
        <v>83</v>
      </c>
      <c r="F27" t="s">
        <v>84</v>
      </c>
      <c r="G27">
        <v>4</v>
      </c>
      <c r="H27" s="3">
        <v>450</v>
      </c>
      <c r="I27" s="4">
        <v>5</v>
      </c>
      <c r="J27" s="3">
        <v>90</v>
      </c>
      <c r="K27" s="3">
        <v>1710</v>
      </c>
      <c r="L27" s="3">
        <v>792.63</v>
      </c>
      <c r="M27" s="3">
        <v>917.37</v>
      </c>
      <c r="N27" t="s">
        <v>20</v>
      </c>
      <c r="O27" t="s">
        <v>26</v>
      </c>
    </row>
    <row r="28" spans="1:15" x14ac:dyDescent="0.35">
      <c r="A28" t="s">
        <v>85</v>
      </c>
      <c r="B28" s="2">
        <v>46060</v>
      </c>
      <c r="C28" t="s">
        <v>36</v>
      </c>
      <c r="D28" t="s">
        <v>37</v>
      </c>
      <c r="E28" t="s">
        <v>86</v>
      </c>
      <c r="F28" t="s">
        <v>49</v>
      </c>
      <c r="G28">
        <v>2</v>
      </c>
      <c r="H28" s="3">
        <v>200</v>
      </c>
      <c r="I28" s="4">
        <v>5</v>
      </c>
      <c r="J28" s="3">
        <v>20</v>
      </c>
      <c r="K28" s="3">
        <v>380</v>
      </c>
      <c r="L28" s="3">
        <v>181.13</v>
      </c>
      <c r="M28" s="3">
        <v>198.87</v>
      </c>
      <c r="N28" t="s">
        <v>3</v>
      </c>
      <c r="O28" t="s">
        <v>26</v>
      </c>
    </row>
    <row r="29" spans="1:15" x14ac:dyDescent="0.35">
      <c r="A29" t="s">
        <v>87</v>
      </c>
      <c r="B29" s="2">
        <v>46063</v>
      </c>
      <c r="C29" t="s">
        <v>43</v>
      </c>
      <c r="D29" t="s">
        <v>44</v>
      </c>
      <c r="E29" t="s">
        <v>88</v>
      </c>
      <c r="F29" t="s">
        <v>49</v>
      </c>
      <c r="G29">
        <v>6</v>
      </c>
      <c r="H29" s="3">
        <v>180</v>
      </c>
      <c r="I29" s="4">
        <v>15</v>
      </c>
      <c r="J29" s="3">
        <v>162</v>
      </c>
      <c r="K29" s="3">
        <v>918</v>
      </c>
      <c r="L29" s="3">
        <v>450.65</v>
      </c>
      <c r="M29" s="3">
        <v>467.35</v>
      </c>
      <c r="N29" t="s">
        <v>34</v>
      </c>
      <c r="O29" t="s">
        <v>31</v>
      </c>
    </row>
    <row r="30" spans="1:15" x14ac:dyDescent="0.35">
      <c r="A30" t="s">
        <v>89</v>
      </c>
      <c r="B30" s="2">
        <v>46063</v>
      </c>
      <c r="C30" t="s">
        <v>81</v>
      </c>
      <c r="D30" t="s">
        <v>82</v>
      </c>
      <c r="E30" t="s">
        <v>38</v>
      </c>
      <c r="F30" t="s">
        <v>30</v>
      </c>
      <c r="G30">
        <v>7</v>
      </c>
      <c r="H30" s="3">
        <v>220</v>
      </c>
      <c r="I30" s="4">
        <v>10</v>
      </c>
      <c r="J30" s="3">
        <v>154</v>
      </c>
      <c r="K30" s="3">
        <v>1386</v>
      </c>
      <c r="L30" s="3">
        <v>829.67</v>
      </c>
      <c r="M30" s="3">
        <v>556.33000000000004</v>
      </c>
      <c r="N30" t="s">
        <v>3</v>
      </c>
      <c r="O30" t="s">
        <v>31</v>
      </c>
    </row>
    <row r="31" spans="1:15" x14ac:dyDescent="0.35">
      <c r="A31" t="s">
        <v>90</v>
      </c>
      <c r="B31" s="2">
        <v>46065</v>
      </c>
      <c r="C31" t="s">
        <v>81</v>
      </c>
      <c r="D31" t="s">
        <v>82</v>
      </c>
      <c r="E31" t="s">
        <v>29</v>
      </c>
      <c r="F31" t="s">
        <v>30</v>
      </c>
      <c r="G31">
        <v>1</v>
      </c>
      <c r="H31" s="3">
        <v>280</v>
      </c>
      <c r="I31" s="4">
        <v>15</v>
      </c>
      <c r="J31" s="3">
        <v>42</v>
      </c>
      <c r="K31" s="3">
        <v>238</v>
      </c>
      <c r="L31" s="3">
        <v>147.16999999999999</v>
      </c>
      <c r="M31" s="3">
        <v>90.83</v>
      </c>
      <c r="N31" t="s">
        <v>3</v>
      </c>
      <c r="O31" t="s">
        <v>31</v>
      </c>
    </row>
    <row r="32" spans="1:15" x14ac:dyDescent="0.35">
      <c r="A32" t="s">
        <v>91</v>
      </c>
      <c r="B32" s="2">
        <v>46065</v>
      </c>
      <c r="C32" t="s">
        <v>81</v>
      </c>
      <c r="D32" t="s">
        <v>82</v>
      </c>
      <c r="E32" t="s">
        <v>56</v>
      </c>
      <c r="F32" t="s">
        <v>57</v>
      </c>
      <c r="G32">
        <v>5</v>
      </c>
      <c r="H32" s="3">
        <v>90</v>
      </c>
      <c r="I32" s="4">
        <v>0</v>
      </c>
      <c r="J32" s="3">
        <v>0</v>
      </c>
      <c r="K32" s="3">
        <v>450</v>
      </c>
      <c r="L32" s="3">
        <v>238.7</v>
      </c>
      <c r="M32" s="3">
        <v>211.3</v>
      </c>
      <c r="N32" t="s">
        <v>3</v>
      </c>
      <c r="O32" t="s">
        <v>26</v>
      </c>
    </row>
    <row r="33" spans="1:15" x14ac:dyDescent="0.35">
      <c r="A33" t="s">
        <v>92</v>
      </c>
      <c r="B33" s="2">
        <v>46066</v>
      </c>
      <c r="C33" t="s">
        <v>23</v>
      </c>
      <c r="D33" t="s">
        <v>28</v>
      </c>
      <c r="E33" t="s">
        <v>83</v>
      </c>
      <c r="F33" t="s">
        <v>84</v>
      </c>
      <c r="G33">
        <v>3</v>
      </c>
      <c r="H33" s="3">
        <v>450</v>
      </c>
      <c r="I33" s="4">
        <v>10</v>
      </c>
      <c r="J33" s="3">
        <v>135</v>
      </c>
      <c r="K33" s="3">
        <v>1215</v>
      </c>
      <c r="L33" s="3">
        <v>719.03</v>
      </c>
      <c r="M33" s="3">
        <v>495.97</v>
      </c>
      <c r="N33" t="s">
        <v>34</v>
      </c>
      <c r="O33" t="s">
        <v>26</v>
      </c>
    </row>
    <row r="34" spans="1:15" x14ac:dyDescent="0.35">
      <c r="A34" t="s">
        <v>93</v>
      </c>
      <c r="B34" s="2">
        <v>46067</v>
      </c>
      <c r="C34" t="s">
        <v>63</v>
      </c>
      <c r="D34" t="s">
        <v>64</v>
      </c>
      <c r="E34" t="s">
        <v>52</v>
      </c>
      <c r="F34" t="s">
        <v>19</v>
      </c>
      <c r="G34">
        <v>4</v>
      </c>
      <c r="H34" s="3">
        <v>850</v>
      </c>
      <c r="I34" s="4">
        <v>20</v>
      </c>
      <c r="J34" s="3">
        <v>680</v>
      </c>
      <c r="K34" s="3">
        <v>2720</v>
      </c>
      <c r="L34" s="3">
        <v>1278.07</v>
      </c>
      <c r="M34" s="3">
        <v>1441.93</v>
      </c>
      <c r="N34" t="s">
        <v>20</v>
      </c>
      <c r="O34" t="s">
        <v>31</v>
      </c>
    </row>
    <row r="35" spans="1:15" x14ac:dyDescent="0.35">
      <c r="A35" t="s">
        <v>94</v>
      </c>
      <c r="B35" s="2">
        <v>46067</v>
      </c>
      <c r="C35" t="s">
        <v>23</v>
      </c>
      <c r="D35" t="s">
        <v>28</v>
      </c>
      <c r="E35" t="s">
        <v>18</v>
      </c>
      <c r="F35" t="s">
        <v>19</v>
      </c>
      <c r="G35">
        <v>7</v>
      </c>
      <c r="H35" s="3">
        <v>950</v>
      </c>
      <c r="I35" s="4">
        <v>5</v>
      </c>
      <c r="J35" s="3">
        <v>332.5</v>
      </c>
      <c r="K35" s="3">
        <v>6317.5</v>
      </c>
      <c r="L35" s="3">
        <v>3232.74</v>
      </c>
      <c r="M35" s="3">
        <v>3084.76</v>
      </c>
      <c r="N35" t="s">
        <v>20</v>
      </c>
      <c r="O35" t="s">
        <v>26</v>
      </c>
    </row>
    <row r="36" spans="1:15" x14ac:dyDescent="0.35">
      <c r="A36" t="s">
        <v>95</v>
      </c>
      <c r="B36" s="2">
        <v>46067</v>
      </c>
      <c r="C36" t="s">
        <v>23</v>
      </c>
      <c r="D36" t="s">
        <v>28</v>
      </c>
      <c r="E36" t="s">
        <v>61</v>
      </c>
      <c r="F36" t="s">
        <v>57</v>
      </c>
      <c r="G36">
        <v>4</v>
      </c>
      <c r="H36" s="3">
        <v>100</v>
      </c>
      <c r="I36" s="4">
        <v>20</v>
      </c>
      <c r="J36" s="3">
        <v>80</v>
      </c>
      <c r="K36" s="3">
        <v>320</v>
      </c>
      <c r="L36" s="3">
        <v>196.84</v>
      </c>
      <c r="M36" s="3">
        <v>123.16</v>
      </c>
      <c r="N36" t="s">
        <v>34</v>
      </c>
      <c r="O36" t="s">
        <v>41</v>
      </c>
    </row>
    <row r="37" spans="1:15" x14ac:dyDescent="0.35">
      <c r="A37" t="s">
        <v>96</v>
      </c>
      <c r="B37" s="2">
        <v>46071</v>
      </c>
      <c r="C37" t="s">
        <v>43</v>
      </c>
      <c r="D37" t="s">
        <v>44</v>
      </c>
      <c r="E37" t="s">
        <v>68</v>
      </c>
      <c r="F37" t="s">
        <v>66</v>
      </c>
      <c r="G37">
        <v>4</v>
      </c>
      <c r="H37" s="3">
        <v>160</v>
      </c>
      <c r="I37" s="4">
        <v>20</v>
      </c>
      <c r="J37" s="3">
        <v>128</v>
      </c>
      <c r="K37" s="3">
        <v>512</v>
      </c>
      <c r="L37" s="3">
        <v>288.3</v>
      </c>
      <c r="M37" s="3">
        <v>223.7</v>
      </c>
      <c r="N37" t="s">
        <v>3</v>
      </c>
      <c r="O37" t="s">
        <v>31</v>
      </c>
    </row>
    <row r="38" spans="1:15" x14ac:dyDescent="0.35">
      <c r="A38" t="s">
        <v>97</v>
      </c>
      <c r="B38" s="2">
        <v>46071</v>
      </c>
      <c r="C38" t="s">
        <v>16</v>
      </c>
      <c r="D38" t="s">
        <v>17</v>
      </c>
      <c r="E38" t="s">
        <v>38</v>
      </c>
      <c r="F38" t="s">
        <v>30</v>
      </c>
      <c r="G38">
        <v>2</v>
      </c>
      <c r="H38" s="3">
        <v>220</v>
      </c>
      <c r="I38" s="4">
        <v>0</v>
      </c>
      <c r="J38" s="3">
        <v>0</v>
      </c>
      <c r="K38" s="3">
        <v>440</v>
      </c>
      <c r="L38" s="3">
        <v>251.11</v>
      </c>
      <c r="M38" s="3">
        <v>188.89</v>
      </c>
      <c r="N38" t="s">
        <v>34</v>
      </c>
      <c r="O38" t="s">
        <v>26</v>
      </c>
    </row>
    <row r="39" spans="1:15" x14ac:dyDescent="0.35">
      <c r="A39" t="s">
        <v>98</v>
      </c>
      <c r="B39" s="2">
        <v>46072</v>
      </c>
      <c r="C39" t="s">
        <v>54</v>
      </c>
      <c r="D39" t="s">
        <v>70</v>
      </c>
      <c r="E39" t="s">
        <v>83</v>
      </c>
      <c r="F39" t="s">
        <v>84</v>
      </c>
      <c r="G39">
        <v>3</v>
      </c>
      <c r="H39" s="3">
        <v>450</v>
      </c>
      <c r="I39" s="4">
        <v>20</v>
      </c>
      <c r="J39" s="3">
        <v>270</v>
      </c>
      <c r="K39" s="3">
        <v>1080</v>
      </c>
      <c r="L39" s="3">
        <v>516.44000000000005</v>
      </c>
      <c r="M39" s="3">
        <v>563.55999999999995</v>
      </c>
      <c r="N39" t="s">
        <v>20</v>
      </c>
      <c r="O39" t="s">
        <v>26</v>
      </c>
    </row>
    <row r="40" spans="1:15" x14ac:dyDescent="0.35">
      <c r="A40" t="s">
        <v>99</v>
      </c>
      <c r="B40" s="2">
        <v>46076</v>
      </c>
      <c r="C40" t="s">
        <v>43</v>
      </c>
      <c r="D40" t="s">
        <v>44</v>
      </c>
      <c r="E40" t="s">
        <v>100</v>
      </c>
      <c r="F40" t="s">
        <v>30</v>
      </c>
      <c r="G40">
        <v>1</v>
      </c>
      <c r="H40" s="3">
        <v>260</v>
      </c>
      <c r="I40" s="4">
        <v>10</v>
      </c>
      <c r="J40" s="3">
        <v>26</v>
      </c>
      <c r="K40" s="3">
        <v>234</v>
      </c>
      <c r="L40" s="3">
        <v>135.82</v>
      </c>
      <c r="M40" s="3">
        <v>98.18</v>
      </c>
      <c r="N40" t="s">
        <v>34</v>
      </c>
      <c r="O40" t="s">
        <v>31</v>
      </c>
    </row>
    <row r="41" spans="1:15" x14ac:dyDescent="0.35">
      <c r="A41" t="s">
        <v>101</v>
      </c>
      <c r="B41" s="2">
        <v>46077</v>
      </c>
      <c r="C41" t="s">
        <v>81</v>
      </c>
      <c r="D41" t="s">
        <v>82</v>
      </c>
      <c r="E41" t="s">
        <v>56</v>
      </c>
      <c r="F41" t="s">
        <v>57</v>
      </c>
      <c r="G41">
        <v>8</v>
      </c>
      <c r="H41" s="3">
        <v>90</v>
      </c>
      <c r="I41" s="4">
        <v>20</v>
      </c>
      <c r="J41" s="3">
        <v>144</v>
      </c>
      <c r="K41" s="3">
        <v>576</v>
      </c>
      <c r="L41" s="3">
        <v>301.69</v>
      </c>
      <c r="M41" s="3">
        <v>274.31</v>
      </c>
      <c r="N41" t="s">
        <v>3</v>
      </c>
      <c r="O41" t="s">
        <v>39</v>
      </c>
    </row>
    <row r="42" spans="1:15" x14ac:dyDescent="0.35">
      <c r="A42" t="s">
        <v>102</v>
      </c>
      <c r="B42" s="2">
        <v>46078</v>
      </c>
      <c r="C42" t="s">
        <v>23</v>
      </c>
      <c r="D42" t="s">
        <v>24</v>
      </c>
      <c r="E42" t="s">
        <v>103</v>
      </c>
      <c r="F42" t="s">
        <v>66</v>
      </c>
      <c r="G42">
        <v>3</v>
      </c>
      <c r="H42" s="3">
        <v>170</v>
      </c>
      <c r="I42" s="4">
        <v>10</v>
      </c>
      <c r="J42" s="3">
        <v>51</v>
      </c>
      <c r="K42" s="3">
        <v>459</v>
      </c>
      <c r="L42" s="3">
        <v>232.91</v>
      </c>
      <c r="M42" s="3">
        <v>226.09</v>
      </c>
      <c r="N42" t="s">
        <v>3</v>
      </c>
      <c r="O42" t="s">
        <v>39</v>
      </c>
    </row>
    <row r="43" spans="1:15" x14ac:dyDescent="0.35">
      <c r="A43" t="s">
        <v>104</v>
      </c>
      <c r="B43" s="2">
        <v>46078</v>
      </c>
      <c r="C43" t="s">
        <v>63</v>
      </c>
      <c r="D43" t="s">
        <v>64</v>
      </c>
      <c r="E43" t="s">
        <v>61</v>
      </c>
      <c r="F43" t="s">
        <v>57</v>
      </c>
      <c r="G43">
        <v>8</v>
      </c>
      <c r="H43" s="3">
        <v>100</v>
      </c>
      <c r="I43" s="4">
        <v>0</v>
      </c>
      <c r="J43" s="3">
        <v>0</v>
      </c>
      <c r="K43" s="3">
        <v>800</v>
      </c>
      <c r="L43" s="3">
        <v>424.78</v>
      </c>
      <c r="M43" s="3">
        <v>375.22</v>
      </c>
      <c r="N43" t="s">
        <v>20</v>
      </c>
      <c r="O43" t="s">
        <v>26</v>
      </c>
    </row>
    <row r="44" spans="1:15" x14ac:dyDescent="0.35">
      <c r="A44" t="s">
        <v>105</v>
      </c>
      <c r="B44" s="2">
        <v>46079</v>
      </c>
      <c r="C44" t="s">
        <v>54</v>
      </c>
      <c r="D44" t="s">
        <v>55</v>
      </c>
      <c r="E44" t="s">
        <v>106</v>
      </c>
      <c r="F44" t="s">
        <v>66</v>
      </c>
      <c r="G44">
        <v>5</v>
      </c>
      <c r="H44" s="3">
        <v>140</v>
      </c>
      <c r="I44" s="4">
        <v>5</v>
      </c>
      <c r="J44" s="3">
        <v>35</v>
      </c>
      <c r="K44" s="3">
        <v>665</v>
      </c>
      <c r="L44" s="3">
        <v>328.03</v>
      </c>
      <c r="M44" s="3">
        <v>336.97</v>
      </c>
      <c r="N44" t="s">
        <v>34</v>
      </c>
      <c r="O44" t="s">
        <v>21</v>
      </c>
    </row>
    <row r="45" spans="1:15" x14ac:dyDescent="0.35">
      <c r="A45" t="s">
        <v>107</v>
      </c>
      <c r="B45" s="2">
        <v>46079</v>
      </c>
      <c r="C45" t="s">
        <v>36</v>
      </c>
      <c r="D45" t="s">
        <v>37</v>
      </c>
      <c r="E45" t="s">
        <v>103</v>
      </c>
      <c r="F45" t="s">
        <v>66</v>
      </c>
      <c r="G45">
        <v>4</v>
      </c>
      <c r="H45" s="3">
        <v>170</v>
      </c>
      <c r="I45" s="4">
        <v>5</v>
      </c>
      <c r="J45" s="3">
        <v>34</v>
      </c>
      <c r="K45" s="3">
        <v>646</v>
      </c>
      <c r="L45" s="3">
        <v>271.52999999999997</v>
      </c>
      <c r="M45" s="3">
        <v>374.47</v>
      </c>
      <c r="N45" t="s">
        <v>3</v>
      </c>
      <c r="O45" t="s">
        <v>31</v>
      </c>
    </row>
    <row r="46" spans="1:15" x14ac:dyDescent="0.35">
      <c r="A46" t="s">
        <v>108</v>
      </c>
      <c r="B46" s="2">
        <v>46081</v>
      </c>
      <c r="C46" t="s">
        <v>54</v>
      </c>
      <c r="D46" t="s">
        <v>55</v>
      </c>
      <c r="E46" t="s">
        <v>25</v>
      </c>
      <c r="F46" t="s">
        <v>19</v>
      </c>
      <c r="G46">
        <v>4</v>
      </c>
      <c r="H46" s="3">
        <v>750</v>
      </c>
      <c r="I46" s="4">
        <v>5</v>
      </c>
      <c r="J46" s="3">
        <v>150</v>
      </c>
      <c r="K46" s="3">
        <v>2850</v>
      </c>
      <c r="L46" s="3">
        <v>1556.26</v>
      </c>
      <c r="M46" s="3">
        <v>1293.74</v>
      </c>
      <c r="N46" t="s">
        <v>20</v>
      </c>
      <c r="O46" t="s">
        <v>41</v>
      </c>
    </row>
    <row r="47" spans="1:15" x14ac:dyDescent="0.35">
      <c r="A47" t="s">
        <v>109</v>
      </c>
      <c r="B47" s="2">
        <v>46082</v>
      </c>
      <c r="C47" t="s">
        <v>54</v>
      </c>
      <c r="D47" t="s">
        <v>55</v>
      </c>
      <c r="E47" t="s">
        <v>18</v>
      </c>
      <c r="F47" t="s">
        <v>19</v>
      </c>
      <c r="G47">
        <v>3</v>
      </c>
      <c r="H47" s="3">
        <v>950</v>
      </c>
      <c r="I47" s="4">
        <v>15</v>
      </c>
      <c r="J47" s="3">
        <v>427.5</v>
      </c>
      <c r="K47" s="3">
        <v>2422.5</v>
      </c>
      <c r="L47" s="3">
        <v>1326.36</v>
      </c>
      <c r="M47" s="3">
        <v>1096.1400000000001</v>
      </c>
      <c r="N47" t="s">
        <v>20</v>
      </c>
      <c r="O47" t="s">
        <v>21</v>
      </c>
    </row>
    <row r="48" spans="1:15" x14ac:dyDescent="0.35">
      <c r="A48" t="s">
        <v>110</v>
      </c>
      <c r="B48" s="2">
        <v>46082</v>
      </c>
      <c r="C48" t="s">
        <v>36</v>
      </c>
      <c r="D48" t="s">
        <v>37</v>
      </c>
      <c r="E48" t="s">
        <v>52</v>
      </c>
      <c r="F48" t="s">
        <v>19</v>
      </c>
      <c r="G48">
        <v>1</v>
      </c>
      <c r="H48" s="3">
        <v>850</v>
      </c>
      <c r="I48" s="4">
        <v>10</v>
      </c>
      <c r="J48" s="3">
        <v>85</v>
      </c>
      <c r="K48" s="3">
        <v>765</v>
      </c>
      <c r="L48" s="3">
        <v>390.93</v>
      </c>
      <c r="M48" s="3">
        <v>374.07</v>
      </c>
      <c r="N48" t="s">
        <v>3</v>
      </c>
      <c r="O48" t="s">
        <v>39</v>
      </c>
    </row>
    <row r="49" spans="1:15" x14ac:dyDescent="0.35">
      <c r="A49" t="s">
        <v>111</v>
      </c>
      <c r="B49" s="2">
        <v>46084</v>
      </c>
      <c r="C49" t="s">
        <v>112</v>
      </c>
      <c r="D49" t="s">
        <v>113</v>
      </c>
      <c r="E49" t="s">
        <v>100</v>
      </c>
      <c r="F49" t="s">
        <v>30</v>
      </c>
      <c r="G49">
        <v>6</v>
      </c>
      <c r="H49" s="3">
        <v>260</v>
      </c>
      <c r="I49" s="4">
        <v>0</v>
      </c>
      <c r="J49" s="3">
        <v>0</v>
      </c>
      <c r="K49" s="3">
        <v>1560</v>
      </c>
      <c r="L49" s="3">
        <v>921.27</v>
      </c>
      <c r="M49" s="3">
        <v>638.73</v>
      </c>
      <c r="N49" t="s">
        <v>20</v>
      </c>
      <c r="O49" t="s">
        <v>31</v>
      </c>
    </row>
    <row r="50" spans="1:15" x14ac:dyDescent="0.35">
      <c r="A50" t="s">
        <v>114</v>
      </c>
      <c r="B50" s="2">
        <v>46091</v>
      </c>
      <c r="C50" t="s">
        <v>43</v>
      </c>
      <c r="D50" t="s">
        <v>44</v>
      </c>
      <c r="E50" t="s">
        <v>18</v>
      </c>
      <c r="F50" t="s">
        <v>19</v>
      </c>
      <c r="G50">
        <v>7</v>
      </c>
      <c r="H50" s="3">
        <v>950</v>
      </c>
      <c r="I50" s="4">
        <v>20</v>
      </c>
      <c r="J50" s="3">
        <v>1330</v>
      </c>
      <c r="K50" s="3">
        <v>5320</v>
      </c>
      <c r="L50" s="3">
        <v>2938.68</v>
      </c>
      <c r="M50" s="3">
        <v>2381.3200000000002</v>
      </c>
      <c r="N50" t="s">
        <v>3</v>
      </c>
      <c r="O50" t="s">
        <v>21</v>
      </c>
    </row>
    <row r="51" spans="1:15" x14ac:dyDescent="0.35">
      <c r="A51" t="s">
        <v>115</v>
      </c>
      <c r="B51" s="2">
        <v>46091</v>
      </c>
      <c r="C51" t="s">
        <v>81</v>
      </c>
      <c r="D51" t="s">
        <v>82</v>
      </c>
      <c r="E51" t="s">
        <v>29</v>
      </c>
      <c r="F51" t="s">
        <v>30</v>
      </c>
      <c r="G51">
        <v>1</v>
      </c>
      <c r="H51" s="3">
        <v>280</v>
      </c>
      <c r="I51" s="4">
        <v>0</v>
      </c>
      <c r="J51" s="3">
        <v>0</v>
      </c>
      <c r="K51" s="3">
        <v>280</v>
      </c>
      <c r="L51" s="3">
        <v>158.31</v>
      </c>
      <c r="M51" s="3">
        <v>121.69</v>
      </c>
      <c r="N51" t="s">
        <v>34</v>
      </c>
      <c r="O51" t="s">
        <v>26</v>
      </c>
    </row>
    <row r="52" spans="1:15" x14ac:dyDescent="0.35">
      <c r="A52" t="s">
        <v>116</v>
      </c>
      <c r="B52" s="2">
        <v>46091</v>
      </c>
      <c r="C52" t="s">
        <v>16</v>
      </c>
      <c r="D52" t="s">
        <v>17</v>
      </c>
      <c r="E52" t="s">
        <v>83</v>
      </c>
      <c r="F52" t="s">
        <v>84</v>
      </c>
      <c r="G52">
        <v>3</v>
      </c>
      <c r="H52" s="3">
        <v>450</v>
      </c>
      <c r="I52" s="4">
        <v>20</v>
      </c>
      <c r="J52" s="3">
        <v>270</v>
      </c>
      <c r="K52" s="3">
        <v>1080</v>
      </c>
      <c r="L52" s="3">
        <v>552.58000000000004</v>
      </c>
      <c r="M52" s="3">
        <v>527.41999999999996</v>
      </c>
      <c r="N52" t="s">
        <v>34</v>
      </c>
      <c r="O52" t="s">
        <v>21</v>
      </c>
    </row>
    <row r="53" spans="1:15" x14ac:dyDescent="0.35">
      <c r="A53" t="s">
        <v>117</v>
      </c>
      <c r="B53" s="2">
        <v>46092</v>
      </c>
      <c r="C53" t="s">
        <v>112</v>
      </c>
      <c r="D53" t="s">
        <v>113</v>
      </c>
      <c r="E53" t="s">
        <v>65</v>
      </c>
      <c r="F53" t="s">
        <v>66</v>
      </c>
      <c r="G53">
        <v>6</v>
      </c>
      <c r="H53" s="3">
        <v>190</v>
      </c>
      <c r="I53" s="4">
        <v>20</v>
      </c>
      <c r="J53" s="3">
        <v>228</v>
      </c>
      <c r="K53" s="3">
        <v>912</v>
      </c>
      <c r="L53" s="3">
        <v>525.67999999999995</v>
      </c>
      <c r="M53" s="3">
        <v>386.32</v>
      </c>
      <c r="N53" t="s">
        <v>34</v>
      </c>
      <c r="O53" t="s">
        <v>41</v>
      </c>
    </row>
    <row r="54" spans="1:15" x14ac:dyDescent="0.35">
      <c r="A54" t="s">
        <v>118</v>
      </c>
      <c r="B54" s="2">
        <v>46092</v>
      </c>
      <c r="C54" t="s">
        <v>63</v>
      </c>
      <c r="D54" t="s">
        <v>64</v>
      </c>
      <c r="E54" t="s">
        <v>65</v>
      </c>
      <c r="F54" t="s">
        <v>66</v>
      </c>
      <c r="G54">
        <v>8</v>
      </c>
      <c r="H54" s="3">
        <v>190</v>
      </c>
      <c r="I54" s="4">
        <v>5</v>
      </c>
      <c r="J54" s="3">
        <v>76</v>
      </c>
      <c r="K54" s="3">
        <v>1444</v>
      </c>
      <c r="L54" s="3">
        <v>674.38</v>
      </c>
      <c r="M54" s="3">
        <v>769.62</v>
      </c>
      <c r="N54" t="s">
        <v>20</v>
      </c>
      <c r="O54" t="s">
        <v>31</v>
      </c>
    </row>
    <row r="55" spans="1:15" x14ac:dyDescent="0.35">
      <c r="A55" t="s">
        <v>119</v>
      </c>
      <c r="B55" s="2">
        <v>46093</v>
      </c>
      <c r="C55" t="s">
        <v>23</v>
      </c>
      <c r="D55" t="s">
        <v>24</v>
      </c>
      <c r="E55" t="s">
        <v>100</v>
      </c>
      <c r="F55" t="s">
        <v>30</v>
      </c>
      <c r="G55">
        <v>6</v>
      </c>
      <c r="H55" s="3">
        <v>260</v>
      </c>
      <c r="I55" s="4">
        <v>5</v>
      </c>
      <c r="J55" s="3">
        <v>78</v>
      </c>
      <c r="K55" s="3">
        <v>1482</v>
      </c>
      <c r="L55" s="3">
        <v>796.12</v>
      </c>
      <c r="M55" s="3">
        <v>685.88</v>
      </c>
      <c r="N55" t="s">
        <v>20</v>
      </c>
      <c r="O55" t="s">
        <v>26</v>
      </c>
    </row>
    <row r="56" spans="1:15" x14ac:dyDescent="0.35">
      <c r="A56" t="s">
        <v>120</v>
      </c>
      <c r="B56" s="2">
        <v>46093</v>
      </c>
      <c r="C56" t="s">
        <v>23</v>
      </c>
      <c r="D56" t="s">
        <v>28</v>
      </c>
      <c r="E56" t="s">
        <v>29</v>
      </c>
      <c r="F56" t="s">
        <v>30</v>
      </c>
      <c r="G56">
        <v>8</v>
      </c>
      <c r="H56" s="3">
        <v>280</v>
      </c>
      <c r="I56" s="4">
        <v>0</v>
      </c>
      <c r="J56" s="3">
        <v>0</v>
      </c>
      <c r="K56" s="3">
        <v>2240</v>
      </c>
      <c r="L56" s="3">
        <v>1194.56</v>
      </c>
      <c r="M56" s="3">
        <v>1045.44</v>
      </c>
      <c r="N56" t="s">
        <v>34</v>
      </c>
      <c r="O56" t="s">
        <v>26</v>
      </c>
    </row>
    <row r="57" spans="1:15" x14ac:dyDescent="0.35">
      <c r="A57" t="s">
        <v>121</v>
      </c>
      <c r="B57" s="2">
        <v>46095</v>
      </c>
      <c r="C57" t="s">
        <v>16</v>
      </c>
      <c r="D57" t="s">
        <v>17</v>
      </c>
      <c r="E57" t="s">
        <v>86</v>
      </c>
      <c r="F57" t="s">
        <v>49</v>
      </c>
      <c r="G57">
        <v>3</v>
      </c>
      <c r="H57" s="3">
        <v>200</v>
      </c>
      <c r="I57" s="4">
        <v>10</v>
      </c>
      <c r="J57" s="3">
        <v>60</v>
      </c>
      <c r="K57" s="3">
        <v>540</v>
      </c>
      <c r="L57" s="3">
        <v>272.68</v>
      </c>
      <c r="M57" s="3">
        <v>267.32</v>
      </c>
      <c r="N57" t="s">
        <v>3</v>
      </c>
      <c r="O57" t="s">
        <v>39</v>
      </c>
    </row>
    <row r="58" spans="1:15" x14ac:dyDescent="0.35">
      <c r="A58" t="s">
        <v>122</v>
      </c>
      <c r="B58" s="2">
        <v>46096</v>
      </c>
      <c r="C58" t="s">
        <v>16</v>
      </c>
      <c r="D58" t="s">
        <v>47</v>
      </c>
      <c r="E58" t="s">
        <v>33</v>
      </c>
      <c r="F58" t="s">
        <v>19</v>
      </c>
      <c r="G58">
        <v>8</v>
      </c>
      <c r="H58" s="3">
        <v>900</v>
      </c>
      <c r="I58" s="4">
        <v>0</v>
      </c>
      <c r="J58" s="3">
        <v>0</v>
      </c>
      <c r="K58" s="3">
        <v>7200</v>
      </c>
      <c r="L58" s="3">
        <v>3163.65</v>
      </c>
      <c r="M58" s="3">
        <v>4036.35</v>
      </c>
      <c r="N58" t="s">
        <v>34</v>
      </c>
      <c r="O58" t="s">
        <v>39</v>
      </c>
    </row>
    <row r="59" spans="1:15" x14ac:dyDescent="0.35">
      <c r="A59" t="s">
        <v>123</v>
      </c>
      <c r="B59" s="2">
        <v>46097</v>
      </c>
      <c r="C59" t="s">
        <v>81</v>
      </c>
      <c r="D59" t="s">
        <v>82</v>
      </c>
      <c r="E59" t="s">
        <v>75</v>
      </c>
      <c r="F59" t="s">
        <v>19</v>
      </c>
      <c r="G59">
        <v>6</v>
      </c>
      <c r="H59" s="3">
        <v>800</v>
      </c>
      <c r="I59" s="4">
        <v>15</v>
      </c>
      <c r="J59" s="3">
        <v>720</v>
      </c>
      <c r="K59" s="3">
        <v>4080</v>
      </c>
      <c r="L59" s="3">
        <v>1857.85</v>
      </c>
      <c r="M59" s="3">
        <v>2222.15</v>
      </c>
      <c r="N59" t="s">
        <v>20</v>
      </c>
      <c r="O59" t="s">
        <v>41</v>
      </c>
    </row>
    <row r="60" spans="1:15" x14ac:dyDescent="0.35">
      <c r="A60" t="s">
        <v>124</v>
      </c>
      <c r="B60" s="2">
        <v>46098</v>
      </c>
      <c r="C60" t="s">
        <v>54</v>
      </c>
      <c r="D60" t="s">
        <v>70</v>
      </c>
      <c r="E60" t="s">
        <v>29</v>
      </c>
      <c r="F60" t="s">
        <v>30</v>
      </c>
      <c r="G60">
        <v>4</v>
      </c>
      <c r="H60" s="3">
        <v>280</v>
      </c>
      <c r="I60" s="4">
        <v>10</v>
      </c>
      <c r="J60" s="3">
        <v>112</v>
      </c>
      <c r="K60" s="3">
        <v>1008</v>
      </c>
      <c r="L60" s="3">
        <v>541.11</v>
      </c>
      <c r="M60" s="3">
        <v>466.89</v>
      </c>
      <c r="N60" t="s">
        <v>20</v>
      </c>
      <c r="O60" t="s">
        <v>41</v>
      </c>
    </row>
    <row r="61" spans="1:15" x14ac:dyDescent="0.35">
      <c r="A61" t="s">
        <v>125</v>
      </c>
      <c r="B61" s="2">
        <v>46099</v>
      </c>
      <c r="C61" t="s">
        <v>43</v>
      </c>
      <c r="D61" t="s">
        <v>44</v>
      </c>
      <c r="E61" t="s">
        <v>48</v>
      </c>
      <c r="F61" t="s">
        <v>49</v>
      </c>
      <c r="G61">
        <v>5</v>
      </c>
      <c r="H61" s="3">
        <v>220</v>
      </c>
      <c r="I61" s="4">
        <v>5</v>
      </c>
      <c r="J61" s="3">
        <v>55</v>
      </c>
      <c r="K61" s="3">
        <v>1045</v>
      </c>
      <c r="L61" s="3">
        <v>469.79</v>
      </c>
      <c r="M61" s="3">
        <v>575.21</v>
      </c>
      <c r="N61" t="s">
        <v>3</v>
      </c>
      <c r="O61" t="s">
        <v>21</v>
      </c>
    </row>
    <row r="62" spans="1:15" x14ac:dyDescent="0.35">
      <c r="A62" t="s">
        <v>126</v>
      </c>
      <c r="B62" s="2">
        <v>46100</v>
      </c>
      <c r="C62" t="s">
        <v>36</v>
      </c>
      <c r="D62" t="s">
        <v>37</v>
      </c>
      <c r="E62" t="s">
        <v>38</v>
      </c>
      <c r="F62" t="s">
        <v>30</v>
      </c>
      <c r="G62">
        <v>7</v>
      </c>
      <c r="H62" s="3">
        <v>220</v>
      </c>
      <c r="I62" s="4">
        <v>0</v>
      </c>
      <c r="J62" s="3">
        <v>0</v>
      </c>
      <c r="K62" s="3">
        <v>1540</v>
      </c>
      <c r="L62" s="3">
        <v>829.7</v>
      </c>
      <c r="M62" s="3">
        <v>710.3</v>
      </c>
      <c r="N62" t="s">
        <v>3</v>
      </c>
      <c r="O62" t="s">
        <v>39</v>
      </c>
    </row>
    <row r="63" spans="1:15" x14ac:dyDescent="0.35">
      <c r="A63" t="s">
        <v>127</v>
      </c>
      <c r="B63" s="2">
        <v>46101</v>
      </c>
      <c r="C63" t="s">
        <v>63</v>
      </c>
      <c r="D63" t="s">
        <v>64</v>
      </c>
      <c r="E63" t="s">
        <v>88</v>
      </c>
      <c r="F63" t="s">
        <v>49</v>
      </c>
      <c r="G63">
        <v>2</v>
      </c>
      <c r="H63" s="3">
        <v>180</v>
      </c>
      <c r="I63" s="4">
        <v>10</v>
      </c>
      <c r="J63" s="3">
        <v>36</v>
      </c>
      <c r="K63" s="3">
        <v>324</v>
      </c>
      <c r="L63" s="3">
        <v>167.18</v>
      </c>
      <c r="M63" s="3">
        <v>156.82</v>
      </c>
      <c r="N63" t="s">
        <v>34</v>
      </c>
      <c r="O63" t="s">
        <v>26</v>
      </c>
    </row>
    <row r="64" spans="1:15" x14ac:dyDescent="0.35">
      <c r="A64" t="s">
        <v>128</v>
      </c>
      <c r="B64" s="2">
        <v>46101</v>
      </c>
      <c r="C64" t="s">
        <v>16</v>
      </c>
      <c r="D64" t="s">
        <v>47</v>
      </c>
      <c r="E64" t="s">
        <v>61</v>
      </c>
      <c r="F64" t="s">
        <v>57</v>
      </c>
      <c r="G64">
        <v>1</v>
      </c>
      <c r="H64" s="3">
        <v>100</v>
      </c>
      <c r="I64" s="4">
        <v>20</v>
      </c>
      <c r="J64" s="3">
        <v>20</v>
      </c>
      <c r="K64" s="3">
        <v>80</v>
      </c>
      <c r="L64" s="3">
        <v>41.04</v>
      </c>
      <c r="M64" s="3">
        <v>38.96</v>
      </c>
      <c r="N64" t="s">
        <v>34</v>
      </c>
      <c r="O64" t="s">
        <v>21</v>
      </c>
    </row>
    <row r="65" spans="1:15" x14ac:dyDescent="0.35">
      <c r="A65" t="s">
        <v>129</v>
      </c>
      <c r="B65" s="2">
        <v>46102</v>
      </c>
      <c r="C65" t="s">
        <v>81</v>
      </c>
      <c r="D65" t="s">
        <v>82</v>
      </c>
      <c r="E65" t="s">
        <v>68</v>
      </c>
      <c r="F65" t="s">
        <v>66</v>
      </c>
      <c r="G65">
        <v>3</v>
      </c>
      <c r="H65" s="3">
        <v>160</v>
      </c>
      <c r="I65" s="4">
        <v>15</v>
      </c>
      <c r="J65" s="3">
        <v>72</v>
      </c>
      <c r="K65" s="3">
        <v>408</v>
      </c>
      <c r="L65" s="3">
        <v>212.5</v>
      </c>
      <c r="M65" s="3">
        <v>195.5</v>
      </c>
      <c r="N65" t="s">
        <v>34</v>
      </c>
      <c r="O65" t="s">
        <v>21</v>
      </c>
    </row>
    <row r="66" spans="1:15" x14ac:dyDescent="0.35">
      <c r="A66" t="s">
        <v>130</v>
      </c>
      <c r="B66" s="2">
        <v>46105</v>
      </c>
      <c r="C66" t="s">
        <v>63</v>
      </c>
      <c r="D66" t="s">
        <v>64</v>
      </c>
      <c r="E66" t="s">
        <v>131</v>
      </c>
      <c r="F66" t="s">
        <v>57</v>
      </c>
      <c r="G66">
        <v>6</v>
      </c>
      <c r="H66" s="3">
        <v>110</v>
      </c>
      <c r="I66" s="4">
        <v>10</v>
      </c>
      <c r="J66" s="3">
        <v>66</v>
      </c>
      <c r="K66" s="3">
        <v>594</v>
      </c>
      <c r="L66" s="3">
        <v>278.99</v>
      </c>
      <c r="M66" s="3">
        <v>315.01</v>
      </c>
      <c r="N66" t="s">
        <v>3</v>
      </c>
      <c r="O66" t="s">
        <v>26</v>
      </c>
    </row>
    <row r="67" spans="1:15" x14ac:dyDescent="0.35">
      <c r="A67" t="s">
        <v>132</v>
      </c>
      <c r="B67" s="2">
        <v>46105</v>
      </c>
      <c r="C67" t="s">
        <v>43</v>
      </c>
      <c r="D67" t="s">
        <v>44</v>
      </c>
      <c r="E67" t="s">
        <v>61</v>
      </c>
      <c r="F67" t="s">
        <v>57</v>
      </c>
      <c r="G67">
        <v>6</v>
      </c>
      <c r="H67" s="3">
        <v>100</v>
      </c>
      <c r="I67" s="4">
        <v>10</v>
      </c>
      <c r="J67" s="3">
        <v>60</v>
      </c>
      <c r="K67" s="3">
        <v>540</v>
      </c>
      <c r="L67" s="3">
        <v>263.77999999999997</v>
      </c>
      <c r="M67" s="3">
        <v>276.22000000000003</v>
      </c>
      <c r="N67" t="s">
        <v>3</v>
      </c>
      <c r="O67" t="s">
        <v>39</v>
      </c>
    </row>
    <row r="68" spans="1:15" x14ac:dyDescent="0.35">
      <c r="A68" t="s">
        <v>133</v>
      </c>
      <c r="B68" s="2">
        <v>46106</v>
      </c>
      <c r="C68" t="s">
        <v>54</v>
      </c>
      <c r="D68" t="s">
        <v>70</v>
      </c>
      <c r="E68" t="s">
        <v>75</v>
      </c>
      <c r="F68" t="s">
        <v>19</v>
      </c>
      <c r="G68">
        <v>4</v>
      </c>
      <c r="H68" s="3">
        <v>800</v>
      </c>
      <c r="I68" s="4">
        <v>0</v>
      </c>
      <c r="J68" s="3">
        <v>0</v>
      </c>
      <c r="K68" s="3">
        <v>3200</v>
      </c>
      <c r="L68" s="3">
        <v>1577.84</v>
      </c>
      <c r="M68" s="3">
        <v>1622.16</v>
      </c>
      <c r="N68" t="s">
        <v>3</v>
      </c>
      <c r="O68" t="s">
        <v>26</v>
      </c>
    </row>
    <row r="69" spans="1:15" x14ac:dyDescent="0.35">
      <c r="A69" t="s">
        <v>134</v>
      </c>
      <c r="B69" s="2">
        <v>46106</v>
      </c>
      <c r="C69" t="s">
        <v>54</v>
      </c>
      <c r="D69" t="s">
        <v>55</v>
      </c>
      <c r="E69" t="s">
        <v>100</v>
      </c>
      <c r="F69" t="s">
        <v>30</v>
      </c>
      <c r="G69">
        <v>4</v>
      </c>
      <c r="H69" s="3">
        <v>260</v>
      </c>
      <c r="I69" s="4">
        <v>10</v>
      </c>
      <c r="J69" s="3">
        <v>104</v>
      </c>
      <c r="K69" s="3">
        <v>936</v>
      </c>
      <c r="L69" s="3">
        <v>475.5</v>
      </c>
      <c r="M69" s="3">
        <v>460.5</v>
      </c>
      <c r="N69" t="s">
        <v>3</v>
      </c>
      <c r="O69" t="s">
        <v>31</v>
      </c>
    </row>
    <row r="70" spans="1:15" x14ac:dyDescent="0.35">
      <c r="A70" t="s">
        <v>135</v>
      </c>
      <c r="B70" s="2">
        <v>46107</v>
      </c>
      <c r="C70" t="s">
        <v>16</v>
      </c>
      <c r="D70" t="s">
        <v>17</v>
      </c>
      <c r="E70" t="s">
        <v>52</v>
      </c>
      <c r="F70" t="s">
        <v>19</v>
      </c>
      <c r="G70">
        <v>6</v>
      </c>
      <c r="H70" s="3">
        <v>850</v>
      </c>
      <c r="I70" s="4">
        <v>5</v>
      </c>
      <c r="J70" s="3">
        <v>255</v>
      </c>
      <c r="K70" s="3">
        <v>4845</v>
      </c>
      <c r="L70" s="3">
        <v>2195.2600000000002</v>
      </c>
      <c r="M70" s="3">
        <v>2649.74</v>
      </c>
      <c r="N70" t="s">
        <v>20</v>
      </c>
      <c r="O70" t="s">
        <v>31</v>
      </c>
    </row>
    <row r="71" spans="1:15" x14ac:dyDescent="0.35">
      <c r="A71" t="s">
        <v>136</v>
      </c>
      <c r="B71" s="2">
        <v>46110</v>
      </c>
      <c r="C71" t="s">
        <v>63</v>
      </c>
      <c r="D71" t="s">
        <v>64</v>
      </c>
      <c r="E71" t="s">
        <v>100</v>
      </c>
      <c r="F71" t="s">
        <v>30</v>
      </c>
      <c r="G71">
        <v>5</v>
      </c>
      <c r="H71" s="3">
        <v>260</v>
      </c>
      <c r="I71" s="4">
        <v>20</v>
      </c>
      <c r="J71" s="3">
        <v>260</v>
      </c>
      <c r="K71" s="3">
        <v>1040</v>
      </c>
      <c r="L71" s="3">
        <v>590.03</v>
      </c>
      <c r="M71" s="3">
        <v>449.97</v>
      </c>
      <c r="N71" t="s">
        <v>20</v>
      </c>
      <c r="O71" t="s">
        <v>41</v>
      </c>
    </row>
    <row r="72" spans="1:15" x14ac:dyDescent="0.35">
      <c r="A72" t="s">
        <v>137</v>
      </c>
      <c r="B72" s="2">
        <v>46110</v>
      </c>
      <c r="C72" t="s">
        <v>63</v>
      </c>
      <c r="D72" t="s">
        <v>64</v>
      </c>
      <c r="E72" t="s">
        <v>56</v>
      </c>
      <c r="F72" t="s">
        <v>57</v>
      </c>
      <c r="G72">
        <v>4</v>
      </c>
      <c r="H72" s="3">
        <v>90</v>
      </c>
      <c r="I72" s="4">
        <v>0</v>
      </c>
      <c r="J72" s="3">
        <v>0</v>
      </c>
      <c r="K72" s="3">
        <v>360</v>
      </c>
      <c r="L72" s="3">
        <v>160.25</v>
      </c>
      <c r="M72" s="3">
        <v>199.75</v>
      </c>
      <c r="N72" t="s">
        <v>34</v>
      </c>
      <c r="O72" t="s">
        <v>21</v>
      </c>
    </row>
    <row r="73" spans="1:15" x14ac:dyDescent="0.35">
      <c r="A73" t="s">
        <v>138</v>
      </c>
      <c r="B73" s="2">
        <v>46111</v>
      </c>
      <c r="C73" t="s">
        <v>43</v>
      </c>
      <c r="D73" t="s">
        <v>44</v>
      </c>
      <c r="E73" t="s">
        <v>45</v>
      </c>
      <c r="F73" t="s">
        <v>30</v>
      </c>
      <c r="G73">
        <v>2</v>
      </c>
      <c r="H73" s="3">
        <v>250</v>
      </c>
      <c r="I73" s="4">
        <v>10</v>
      </c>
      <c r="J73" s="3">
        <v>50</v>
      </c>
      <c r="K73" s="3">
        <v>450</v>
      </c>
      <c r="L73" s="3">
        <v>192.94</v>
      </c>
      <c r="M73" s="3">
        <v>257.06</v>
      </c>
      <c r="N73" t="s">
        <v>3</v>
      </c>
      <c r="O73" t="s">
        <v>39</v>
      </c>
    </row>
    <row r="74" spans="1:15" x14ac:dyDescent="0.35">
      <c r="A74" t="s">
        <v>139</v>
      </c>
      <c r="B74" s="2">
        <v>46113</v>
      </c>
      <c r="C74" t="s">
        <v>36</v>
      </c>
      <c r="D74" t="s">
        <v>37</v>
      </c>
      <c r="E74" t="s">
        <v>52</v>
      </c>
      <c r="F74" t="s">
        <v>19</v>
      </c>
      <c r="G74">
        <v>1</v>
      </c>
      <c r="H74" s="3">
        <v>850</v>
      </c>
      <c r="I74" s="4">
        <v>20</v>
      </c>
      <c r="J74" s="3">
        <v>170</v>
      </c>
      <c r="K74" s="3">
        <v>680</v>
      </c>
      <c r="L74" s="3">
        <v>299.43</v>
      </c>
      <c r="M74" s="3">
        <v>380.57</v>
      </c>
      <c r="N74" t="s">
        <v>3</v>
      </c>
      <c r="O74" t="s">
        <v>41</v>
      </c>
    </row>
    <row r="75" spans="1:15" x14ac:dyDescent="0.35">
      <c r="A75" t="s">
        <v>140</v>
      </c>
      <c r="B75" s="2">
        <v>46113</v>
      </c>
      <c r="C75" t="s">
        <v>112</v>
      </c>
      <c r="D75" t="s">
        <v>113</v>
      </c>
      <c r="E75" t="s">
        <v>33</v>
      </c>
      <c r="F75" t="s">
        <v>19</v>
      </c>
      <c r="G75">
        <v>2</v>
      </c>
      <c r="H75" s="3">
        <v>900</v>
      </c>
      <c r="I75" s="4">
        <v>10</v>
      </c>
      <c r="J75" s="3">
        <v>180</v>
      </c>
      <c r="K75" s="3">
        <v>1620</v>
      </c>
      <c r="L75" s="3">
        <v>747.7</v>
      </c>
      <c r="M75" s="3">
        <v>872.3</v>
      </c>
      <c r="N75" t="s">
        <v>3</v>
      </c>
      <c r="O75" t="s">
        <v>41</v>
      </c>
    </row>
    <row r="76" spans="1:15" x14ac:dyDescent="0.35">
      <c r="A76" t="s">
        <v>141</v>
      </c>
      <c r="B76" s="2">
        <v>46117</v>
      </c>
      <c r="C76" t="s">
        <v>43</v>
      </c>
      <c r="D76" t="s">
        <v>44</v>
      </c>
      <c r="E76" t="s">
        <v>65</v>
      </c>
      <c r="F76" t="s">
        <v>66</v>
      </c>
      <c r="G76">
        <v>1</v>
      </c>
      <c r="H76" s="3">
        <v>190</v>
      </c>
      <c r="I76" s="4">
        <v>20</v>
      </c>
      <c r="J76" s="3">
        <v>38</v>
      </c>
      <c r="K76" s="3">
        <v>152</v>
      </c>
      <c r="L76" s="3">
        <v>90.57</v>
      </c>
      <c r="M76" s="3">
        <v>61.43</v>
      </c>
      <c r="N76" t="s">
        <v>3</v>
      </c>
      <c r="O76" t="s">
        <v>31</v>
      </c>
    </row>
    <row r="77" spans="1:15" x14ac:dyDescent="0.35">
      <c r="A77" t="s">
        <v>142</v>
      </c>
      <c r="B77" s="2">
        <v>46118</v>
      </c>
      <c r="C77" t="s">
        <v>63</v>
      </c>
      <c r="D77" t="s">
        <v>64</v>
      </c>
      <c r="E77" t="s">
        <v>29</v>
      </c>
      <c r="F77" t="s">
        <v>30</v>
      </c>
      <c r="G77">
        <v>7</v>
      </c>
      <c r="H77" s="3">
        <v>280</v>
      </c>
      <c r="I77" s="4">
        <v>15</v>
      </c>
      <c r="J77" s="3">
        <v>294</v>
      </c>
      <c r="K77" s="3">
        <v>1666</v>
      </c>
      <c r="L77" s="3">
        <v>867.83</v>
      </c>
      <c r="M77" s="3">
        <v>798.17</v>
      </c>
      <c r="N77" t="s">
        <v>34</v>
      </c>
      <c r="O77" t="s">
        <v>39</v>
      </c>
    </row>
    <row r="78" spans="1:15" x14ac:dyDescent="0.35">
      <c r="A78" t="s">
        <v>143</v>
      </c>
      <c r="B78" s="2">
        <v>46118</v>
      </c>
      <c r="C78" t="s">
        <v>112</v>
      </c>
      <c r="D78" t="s">
        <v>113</v>
      </c>
      <c r="E78" t="s">
        <v>100</v>
      </c>
      <c r="F78" t="s">
        <v>30</v>
      </c>
      <c r="G78">
        <v>6</v>
      </c>
      <c r="H78" s="3">
        <v>260</v>
      </c>
      <c r="I78" s="4">
        <v>0</v>
      </c>
      <c r="J78" s="3">
        <v>0</v>
      </c>
      <c r="K78" s="3">
        <v>1560</v>
      </c>
      <c r="L78" s="3">
        <v>760.92</v>
      </c>
      <c r="M78" s="3">
        <v>799.08</v>
      </c>
      <c r="N78" t="s">
        <v>3</v>
      </c>
      <c r="O78" t="s">
        <v>41</v>
      </c>
    </row>
    <row r="79" spans="1:15" x14ac:dyDescent="0.35">
      <c r="A79" t="s">
        <v>144</v>
      </c>
      <c r="B79" s="2">
        <v>46118</v>
      </c>
      <c r="C79" t="s">
        <v>16</v>
      </c>
      <c r="D79" t="s">
        <v>17</v>
      </c>
      <c r="E79" t="s">
        <v>38</v>
      </c>
      <c r="F79" t="s">
        <v>30</v>
      </c>
      <c r="G79">
        <v>6</v>
      </c>
      <c r="H79" s="3">
        <v>220</v>
      </c>
      <c r="I79" s="4">
        <v>15</v>
      </c>
      <c r="J79" s="3">
        <v>198</v>
      </c>
      <c r="K79" s="3">
        <v>1122</v>
      </c>
      <c r="L79" s="3">
        <v>482.23</v>
      </c>
      <c r="M79" s="3">
        <v>639.77</v>
      </c>
      <c r="N79" t="s">
        <v>3</v>
      </c>
      <c r="O79" t="s">
        <v>39</v>
      </c>
    </row>
    <row r="80" spans="1:15" x14ac:dyDescent="0.35">
      <c r="A80" t="s">
        <v>145</v>
      </c>
      <c r="B80" s="2">
        <v>46118</v>
      </c>
      <c r="C80" t="s">
        <v>36</v>
      </c>
      <c r="D80" t="s">
        <v>37</v>
      </c>
      <c r="E80" t="s">
        <v>48</v>
      </c>
      <c r="F80" t="s">
        <v>49</v>
      </c>
      <c r="G80">
        <v>3</v>
      </c>
      <c r="H80" s="3">
        <v>220</v>
      </c>
      <c r="I80" s="4">
        <v>15</v>
      </c>
      <c r="J80" s="3">
        <v>99</v>
      </c>
      <c r="K80" s="3">
        <v>561</v>
      </c>
      <c r="L80" s="3">
        <v>253.89</v>
      </c>
      <c r="M80" s="3">
        <v>307.11</v>
      </c>
      <c r="N80" t="s">
        <v>3</v>
      </c>
      <c r="O80" t="s">
        <v>41</v>
      </c>
    </row>
    <row r="81" spans="1:15" x14ac:dyDescent="0.35">
      <c r="A81" t="s">
        <v>146</v>
      </c>
      <c r="B81" s="2">
        <v>46118</v>
      </c>
      <c r="C81" t="s">
        <v>43</v>
      </c>
      <c r="D81" t="s">
        <v>44</v>
      </c>
      <c r="E81" t="s">
        <v>100</v>
      </c>
      <c r="F81" t="s">
        <v>30</v>
      </c>
      <c r="G81">
        <v>4</v>
      </c>
      <c r="H81" s="3">
        <v>260</v>
      </c>
      <c r="I81" s="4">
        <v>0</v>
      </c>
      <c r="J81" s="3">
        <v>0</v>
      </c>
      <c r="K81" s="3">
        <v>1040</v>
      </c>
      <c r="L81" s="3">
        <v>503.18</v>
      </c>
      <c r="M81" s="3">
        <v>536.82000000000005</v>
      </c>
      <c r="N81" t="s">
        <v>20</v>
      </c>
      <c r="O81" t="s">
        <v>39</v>
      </c>
    </row>
    <row r="82" spans="1:15" x14ac:dyDescent="0.35">
      <c r="A82" t="s">
        <v>147</v>
      </c>
      <c r="B82" s="2">
        <v>46121</v>
      </c>
      <c r="C82" t="s">
        <v>112</v>
      </c>
      <c r="D82" t="s">
        <v>113</v>
      </c>
      <c r="E82" t="s">
        <v>29</v>
      </c>
      <c r="F82" t="s">
        <v>30</v>
      </c>
      <c r="G82">
        <v>4</v>
      </c>
      <c r="H82" s="3">
        <v>280</v>
      </c>
      <c r="I82" s="4">
        <v>5</v>
      </c>
      <c r="J82" s="3">
        <v>56</v>
      </c>
      <c r="K82" s="3">
        <v>1064</v>
      </c>
      <c r="L82" s="3">
        <v>482.41</v>
      </c>
      <c r="M82" s="3">
        <v>581.59</v>
      </c>
      <c r="N82" t="s">
        <v>20</v>
      </c>
      <c r="O82" t="s">
        <v>41</v>
      </c>
    </row>
    <row r="83" spans="1:15" x14ac:dyDescent="0.35">
      <c r="A83" t="s">
        <v>148</v>
      </c>
      <c r="B83" s="2">
        <v>46121</v>
      </c>
      <c r="C83" t="s">
        <v>112</v>
      </c>
      <c r="D83" t="s">
        <v>113</v>
      </c>
      <c r="E83" t="s">
        <v>25</v>
      </c>
      <c r="F83" t="s">
        <v>19</v>
      </c>
      <c r="G83">
        <v>7</v>
      </c>
      <c r="H83" s="3">
        <v>750</v>
      </c>
      <c r="I83" s="4">
        <v>10</v>
      </c>
      <c r="J83" s="3">
        <v>525</v>
      </c>
      <c r="K83" s="3">
        <v>4725</v>
      </c>
      <c r="L83" s="3">
        <v>2724.08</v>
      </c>
      <c r="M83" s="3">
        <v>2000.92</v>
      </c>
      <c r="N83" t="s">
        <v>34</v>
      </c>
      <c r="O83" t="s">
        <v>31</v>
      </c>
    </row>
    <row r="84" spans="1:15" x14ac:dyDescent="0.35">
      <c r="A84" t="s">
        <v>149</v>
      </c>
      <c r="B84" s="2">
        <v>46122</v>
      </c>
      <c r="C84" t="s">
        <v>81</v>
      </c>
      <c r="D84" t="s">
        <v>82</v>
      </c>
      <c r="E84" t="s">
        <v>48</v>
      </c>
      <c r="F84" t="s">
        <v>49</v>
      </c>
      <c r="G84">
        <v>8</v>
      </c>
      <c r="H84" s="3">
        <v>220</v>
      </c>
      <c r="I84" s="4">
        <v>5</v>
      </c>
      <c r="J84" s="3">
        <v>88</v>
      </c>
      <c r="K84" s="3">
        <v>1672</v>
      </c>
      <c r="L84" s="3">
        <v>826.12</v>
      </c>
      <c r="M84" s="3">
        <v>845.88</v>
      </c>
      <c r="N84" t="s">
        <v>20</v>
      </c>
      <c r="O84" t="s">
        <v>41</v>
      </c>
    </row>
    <row r="85" spans="1:15" x14ac:dyDescent="0.35">
      <c r="A85" t="s">
        <v>150</v>
      </c>
      <c r="B85" s="2">
        <v>46122</v>
      </c>
      <c r="C85" t="s">
        <v>63</v>
      </c>
      <c r="D85" t="s">
        <v>64</v>
      </c>
      <c r="E85" t="s">
        <v>68</v>
      </c>
      <c r="F85" t="s">
        <v>66</v>
      </c>
      <c r="G85">
        <v>4</v>
      </c>
      <c r="H85" s="3">
        <v>160</v>
      </c>
      <c r="I85" s="4">
        <v>0</v>
      </c>
      <c r="J85" s="3">
        <v>0</v>
      </c>
      <c r="K85" s="3">
        <v>640</v>
      </c>
      <c r="L85" s="3">
        <v>388.53</v>
      </c>
      <c r="M85" s="3">
        <v>251.47</v>
      </c>
      <c r="N85" t="s">
        <v>20</v>
      </c>
      <c r="O85" t="s">
        <v>41</v>
      </c>
    </row>
    <row r="86" spans="1:15" x14ac:dyDescent="0.35">
      <c r="A86" t="s">
        <v>151</v>
      </c>
      <c r="B86" s="2">
        <v>46123</v>
      </c>
      <c r="C86" t="s">
        <v>63</v>
      </c>
      <c r="D86" t="s">
        <v>64</v>
      </c>
      <c r="E86" t="s">
        <v>25</v>
      </c>
      <c r="F86" t="s">
        <v>19</v>
      </c>
      <c r="G86">
        <v>6</v>
      </c>
      <c r="H86" s="3">
        <v>750</v>
      </c>
      <c r="I86" s="4">
        <v>0</v>
      </c>
      <c r="J86" s="3">
        <v>0</v>
      </c>
      <c r="K86" s="3">
        <v>4500</v>
      </c>
      <c r="L86" s="3">
        <v>2110.73</v>
      </c>
      <c r="M86" s="3">
        <v>2389.27</v>
      </c>
      <c r="N86" t="s">
        <v>34</v>
      </c>
      <c r="O86" t="s">
        <v>41</v>
      </c>
    </row>
    <row r="87" spans="1:15" x14ac:dyDescent="0.35">
      <c r="A87" t="s">
        <v>152</v>
      </c>
      <c r="B87" s="2">
        <v>46123</v>
      </c>
      <c r="C87" t="s">
        <v>16</v>
      </c>
      <c r="D87" t="s">
        <v>47</v>
      </c>
      <c r="E87" t="s">
        <v>131</v>
      </c>
      <c r="F87" t="s">
        <v>57</v>
      </c>
      <c r="G87">
        <v>1</v>
      </c>
      <c r="H87" s="3">
        <v>110</v>
      </c>
      <c r="I87" s="4">
        <v>0</v>
      </c>
      <c r="J87" s="3">
        <v>0</v>
      </c>
      <c r="K87" s="3">
        <v>110</v>
      </c>
      <c r="L87" s="3">
        <v>55.5</v>
      </c>
      <c r="M87" s="3">
        <v>54.5</v>
      </c>
      <c r="N87" t="s">
        <v>3</v>
      </c>
      <c r="O87" t="s">
        <v>41</v>
      </c>
    </row>
    <row r="88" spans="1:15" x14ac:dyDescent="0.35">
      <c r="A88" t="s">
        <v>153</v>
      </c>
      <c r="B88" s="2">
        <v>46124</v>
      </c>
      <c r="C88" t="s">
        <v>16</v>
      </c>
      <c r="D88" t="s">
        <v>17</v>
      </c>
      <c r="E88" t="s">
        <v>33</v>
      </c>
      <c r="F88" t="s">
        <v>19</v>
      </c>
      <c r="G88">
        <v>6</v>
      </c>
      <c r="H88" s="3">
        <v>900</v>
      </c>
      <c r="I88" s="4">
        <v>0</v>
      </c>
      <c r="J88" s="3">
        <v>0</v>
      </c>
      <c r="K88" s="3">
        <v>5400</v>
      </c>
      <c r="L88" s="3">
        <v>2911.73</v>
      </c>
      <c r="M88" s="3">
        <v>2488.27</v>
      </c>
      <c r="N88" t="s">
        <v>3</v>
      </c>
      <c r="O88" t="s">
        <v>39</v>
      </c>
    </row>
    <row r="89" spans="1:15" x14ac:dyDescent="0.35">
      <c r="A89" t="s">
        <v>154</v>
      </c>
      <c r="B89" s="2">
        <v>46125</v>
      </c>
      <c r="C89" t="s">
        <v>112</v>
      </c>
      <c r="D89" t="s">
        <v>113</v>
      </c>
      <c r="E89" t="s">
        <v>29</v>
      </c>
      <c r="F89" t="s">
        <v>30</v>
      </c>
      <c r="G89">
        <v>4</v>
      </c>
      <c r="H89" s="3">
        <v>280</v>
      </c>
      <c r="I89" s="4">
        <v>5</v>
      </c>
      <c r="J89" s="3">
        <v>56</v>
      </c>
      <c r="K89" s="3">
        <v>1064</v>
      </c>
      <c r="L89" s="3">
        <v>574.24</v>
      </c>
      <c r="M89" s="3">
        <v>489.76</v>
      </c>
      <c r="N89" t="s">
        <v>3</v>
      </c>
      <c r="O89" t="s">
        <v>26</v>
      </c>
    </row>
    <row r="90" spans="1:15" x14ac:dyDescent="0.35">
      <c r="A90" t="s">
        <v>155</v>
      </c>
      <c r="B90" s="2">
        <v>46125</v>
      </c>
      <c r="C90" t="s">
        <v>23</v>
      </c>
      <c r="D90" t="s">
        <v>24</v>
      </c>
      <c r="E90" t="s">
        <v>25</v>
      </c>
      <c r="F90" t="s">
        <v>19</v>
      </c>
      <c r="G90">
        <v>1</v>
      </c>
      <c r="H90" s="3">
        <v>750</v>
      </c>
      <c r="I90" s="4">
        <v>5</v>
      </c>
      <c r="J90" s="3">
        <v>37.5</v>
      </c>
      <c r="K90" s="3">
        <v>712.5</v>
      </c>
      <c r="L90" s="3">
        <v>432.19</v>
      </c>
      <c r="M90" s="3">
        <v>280.31</v>
      </c>
      <c r="N90" t="s">
        <v>3</v>
      </c>
      <c r="O90" t="s">
        <v>39</v>
      </c>
    </row>
    <row r="91" spans="1:15" x14ac:dyDescent="0.35">
      <c r="A91" t="s">
        <v>156</v>
      </c>
      <c r="B91" s="2">
        <v>46128</v>
      </c>
      <c r="C91" t="s">
        <v>16</v>
      </c>
      <c r="D91" t="s">
        <v>17</v>
      </c>
      <c r="E91" t="s">
        <v>29</v>
      </c>
      <c r="F91" t="s">
        <v>30</v>
      </c>
      <c r="G91">
        <v>4</v>
      </c>
      <c r="H91" s="3">
        <v>280</v>
      </c>
      <c r="I91" s="4">
        <v>20</v>
      </c>
      <c r="J91" s="3">
        <v>224</v>
      </c>
      <c r="K91" s="3">
        <v>896</v>
      </c>
      <c r="L91" s="3">
        <v>501.29</v>
      </c>
      <c r="M91" s="3">
        <v>394.71</v>
      </c>
      <c r="N91" t="s">
        <v>3</v>
      </c>
      <c r="O91" t="s">
        <v>31</v>
      </c>
    </row>
    <row r="92" spans="1:15" x14ac:dyDescent="0.35">
      <c r="A92" t="s">
        <v>157</v>
      </c>
      <c r="B92" s="2">
        <v>46128</v>
      </c>
      <c r="C92" t="s">
        <v>16</v>
      </c>
      <c r="D92" t="s">
        <v>47</v>
      </c>
      <c r="E92" t="s">
        <v>45</v>
      </c>
      <c r="F92" t="s">
        <v>30</v>
      </c>
      <c r="G92">
        <v>7</v>
      </c>
      <c r="H92" s="3">
        <v>250</v>
      </c>
      <c r="I92" s="4">
        <v>15</v>
      </c>
      <c r="J92" s="3">
        <v>262.5</v>
      </c>
      <c r="K92" s="3">
        <v>1487.5</v>
      </c>
      <c r="L92" s="3">
        <v>740.02</v>
      </c>
      <c r="M92" s="3">
        <v>747.48</v>
      </c>
      <c r="N92" t="s">
        <v>3</v>
      </c>
      <c r="O92" t="s">
        <v>39</v>
      </c>
    </row>
    <row r="93" spans="1:15" x14ac:dyDescent="0.35">
      <c r="A93" t="s">
        <v>158</v>
      </c>
      <c r="B93" s="2">
        <v>46129</v>
      </c>
      <c r="C93" t="s">
        <v>63</v>
      </c>
      <c r="D93" t="s">
        <v>64</v>
      </c>
      <c r="E93" t="s">
        <v>52</v>
      </c>
      <c r="F93" t="s">
        <v>19</v>
      </c>
      <c r="G93">
        <v>3</v>
      </c>
      <c r="H93" s="3">
        <v>850</v>
      </c>
      <c r="I93" s="4">
        <v>20</v>
      </c>
      <c r="J93" s="3">
        <v>510</v>
      </c>
      <c r="K93" s="3">
        <v>2040</v>
      </c>
      <c r="L93" s="3">
        <v>1023.48</v>
      </c>
      <c r="M93" s="3">
        <v>1016.52</v>
      </c>
      <c r="N93" t="s">
        <v>34</v>
      </c>
      <c r="O93" t="s">
        <v>41</v>
      </c>
    </row>
    <row r="94" spans="1:15" x14ac:dyDescent="0.35">
      <c r="A94" t="s">
        <v>159</v>
      </c>
      <c r="B94" s="2">
        <v>46129</v>
      </c>
      <c r="C94" t="s">
        <v>63</v>
      </c>
      <c r="D94" t="s">
        <v>64</v>
      </c>
      <c r="E94" t="s">
        <v>45</v>
      </c>
      <c r="F94" t="s">
        <v>30</v>
      </c>
      <c r="G94">
        <v>6</v>
      </c>
      <c r="H94" s="3">
        <v>250</v>
      </c>
      <c r="I94" s="4">
        <v>20</v>
      </c>
      <c r="J94" s="3">
        <v>300</v>
      </c>
      <c r="K94" s="3">
        <v>1200</v>
      </c>
      <c r="L94" s="3">
        <v>742.73</v>
      </c>
      <c r="M94" s="3">
        <v>457.27</v>
      </c>
      <c r="N94" t="s">
        <v>20</v>
      </c>
      <c r="O94" t="s">
        <v>26</v>
      </c>
    </row>
    <row r="95" spans="1:15" x14ac:dyDescent="0.35">
      <c r="A95" t="s">
        <v>160</v>
      </c>
      <c r="B95" s="2">
        <v>46132</v>
      </c>
      <c r="C95" t="s">
        <v>36</v>
      </c>
      <c r="D95" t="s">
        <v>37</v>
      </c>
      <c r="E95" t="s">
        <v>38</v>
      </c>
      <c r="F95" t="s">
        <v>30</v>
      </c>
      <c r="G95">
        <v>7</v>
      </c>
      <c r="H95" s="3">
        <v>220</v>
      </c>
      <c r="I95" s="4">
        <v>15</v>
      </c>
      <c r="J95" s="3">
        <v>231</v>
      </c>
      <c r="K95" s="3">
        <v>1309</v>
      </c>
      <c r="L95" s="3">
        <v>575.02</v>
      </c>
      <c r="M95" s="3">
        <v>733.98</v>
      </c>
      <c r="N95" t="s">
        <v>20</v>
      </c>
      <c r="O95" t="s">
        <v>41</v>
      </c>
    </row>
    <row r="96" spans="1:15" x14ac:dyDescent="0.35">
      <c r="A96" t="s">
        <v>161</v>
      </c>
      <c r="B96" s="2">
        <v>46132</v>
      </c>
      <c r="C96" t="s">
        <v>36</v>
      </c>
      <c r="D96" t="s">
        <v>37</v>
      </c>
      <c r="E96" t="s">
        <v>38</v>
      </c>
      <c r="F96" t="s">
        <v>30</v>
      </c>
      <c r="G96">
        <v>5</v>
      </c>
      <c r="H96" s="3">
        <v>220</v>
      </c>
      <c r="I96" s="4">
        <v>5</v>
      </c>
      <c r="J96" s="3">
        <v>55</v>
      </c>
      <c r="K96" s="3">
        <v>1045</v>
      </c>
      <c r="L96" s="3">
        <v>496.34</v>
      </c>
      <c r="M96" s="3">
        <v>548.66</v>
      </c>
      <c r="N96" t="s">
        <v>34</v>
      </c>
      <c r="O96" t="s">
        <v>41</v>
      </c>
    </row>
    <row r="97" spans="1:15" x14ac:dyDescent="0.35">
      <c r="A97" t="s">
        <v>162</v>
      </c>
      <c r="B97" s="2">
        <v>46132</v>
      </c>
      <c r="C97" t="s">
        <v>23</v>
      </c>
      <c r="D97" t="s">
        <v>24</v>
      </c>
      <c r="E97" t="s">
        <v>25</v>
      </c>
      <c r="F97" t="s">
        <v>19</v>
      </c>
      <c r="G97">
        <v>3</v>
      </c>
      <c r="H97" s="3">
        <v>750</v>
      </c>
      <c r="I97" s="4">
        <v>10</v>
      </c>
      <c r="J97" s="3">
        <v>225</v>
      </c>
      <c r="K97" s="3">
        <v>2025</v>
      </c>
      <c r="L97" s="3">
        <v>1124.54</v>
      </c>
      <c r="M97" s="3">
        <v>900.46</v>
      </c>
      <c r="N97" t="s">
        <v>3</v>
      </c>
      <c r="O97" t="s">
        <v>41</v>
      </c>
    </row>
    <row r="98" spans="1:15" x14ac:dyDescent="0.35">
      <c r="A98" t="s">
        <v>163</v>
      </c>
      <c r="B98" s="2">
        <v>46135</v>
      </c>
      <c r="C98" t="s">
        <v>43</v>
      </c>
      <c r="D98" t="s">
        <v>44</v>
      </c>
      <c r="E98" t="s">
        <v>38</v>
      </c>
      <c r="F98" t="s">
        <v>30</v>
      </c>
      <c r="G98">
        <v>6</v>
      </c>
      <c r="H98" s="3">
        <v>220</v>
      </c>
      <c r="I98" s="4">
        <v>15</v>
      </c>
      <c r="J98" s="3">
        <v>198</v>
      </c>
      <c r="K98" s="3">
        <v>1122</v>
      </c>
      <c r="L98" s="3">
        <v>583.66999999999996</v>
      </c>
      <c r="M98" s="3">
        <v>538.33000000000004</v>
      </c>
      <c r="N98" t="s">
        <v>34</v>
      </c>
      <c r="O98" t="s">
        <v>21</v>
      </c>
    </row>
    <row r="99" spans="1:15" x14ac:dyDescent="0.35">
      <c r="A99" t="s">
        <v>164</v>
      </c>
      <c r="B99" s="2">
        <v>46136</v>
      </c>
      <c r="C99" t="s">
        <v>23</v>
      </c>
      <c r="D99" t="s">
        <v>24</v>
      </c>
      <c r="E99" t="s">
        <v>106</v>
      </c>
      <c r="F99" t="s">
        <v>66</v>
      </c>
      <c r="G99">
        <v>4</v>
      </c>
      <c r="H99" s="3">
        <v>140</v>
      </c>
      <c r="I99" s="4">
        <v>15</v>
      </c>
      <c r="J99" s="3">
        <v>84</v>
      </c>
      <c r="K99" s="3">
        <v>476</v>
      </c>
      <c r="L99" s="3">
        <v>207.8</v>
      </c>
      <c r="M99" s="3">
        <v>268.2</v>
      </c>
      <c r="N99" t="s">
        <v>20</v>
      </c>
      <c r="O99" t="s">
        <v>21</v>
      </c>
    </row>
    <row r="100" spans="1:15" x14ac:dyDescent="0.35">
      <c r="A100" t="s">
        <v>165</v>
      </c>
      <c r="B100" s="2">
        <v>46138</v>
      </c>
      <c r="C100" t="s">
        <v>16</v>
      </c>
      <c r="D100" t="s">
        <v>47</v>
      </c>
      <c r="E100" t="s">
        <v>106</v>
      </c>
      <c r="F100" t="s">
        <v>66</v>
      </c>
      <c r="G100">
        <v>4</v>
      </c>
      <c r="H100" s="3">
        <v>140</v>
      </c>
      <c r="I100" s="4">
        <v>0</v>
      </c>
      <c r="J100" s="3">
        <v>0</v>
      </c>
      <c r="K100" s="3">
        <v>560</v>
      </c>
      <c r="L100" s="3">
        <v>299.32</v>
      </c>
      <c r="M100" s="3">
        <v>260.68</v>
      </c>
      <c r="N100" t="s">
        <v>20</v>
      </c>
      <c r="O100" t="s">
        <v>21</v>
      </c>
    </row>
    <row r="101" spans="1:15" x14ac:dyDescent="0.35">
      <c r="A101" t="s">
        <v>166</v>
      </c>
      <c r="B101" s="2">
        <v>46138</v>
      </c>
      <c r="C101" t="s">
        <v>23</v>
      </c>
      <c r="D101" t="s">
        <v>28</v>
      </c>
      <c r="E101" t="s">
        <v>38</v>
      </c>
      <c r="F101" t="s">
        <v>30</v>
      </c>
      <c r="G101">
        <v>5</v>
      </c>
      <c r="H101" s="3">
        <v>220</v>
      </c>
      <c r="I101" s="4">
        <v>0</v>
      </c>
      <c r="J101" s="3">
        <v>0</v>
      </c>
      <c r="K101" s="3">
        <v>1100</v>
      </c>
      <c r="L101" s="3">
        <v>587.23</v>
      </c>
      <c r="M101" s="3">
        <v>512.77</v>
      </c>
      <c r="N101" t="s">
        <v>20</v>
      </c>
      <c r="O101" t="s">
        <v>31</v>
      </c>
    </row>
    <row r="102" spans="1:15" x14ac:dyDescent="0.35">
      <c r="A102" t="s">
        <v>167</v>
      </c>
      <c r="B102" s="2">
        <v>46139</v>
      </c>
      <c r="C102" t="s">
        <v>81</v>
      </c>
      <c r="D102" t="s">
        <v>82</v>
      </c>
      <c r="E102" t="s">
        <v>33</v>
      </c>
      <c r="F102" t="s">
        <v>19</v>
      </c>
      <c r="G102">
        <v>1</v>
      </c>
      <c r="H102" s="3">
        <v>900</v>
      </c>
      <c r="I102" s="4">
        <v>10</v>
      </c>
      <c r="J102" s="3">
        <v>90</v>
      </c>
      <c r="K102" s="3">
        <v>810</v>
      </c>
      <c r="L102" s="3">
        <v>451.35</v>
      </c>
      <c r="M102" s="3">
        <v>358.65</v>
      </c>
      <c r="N102" t="s">
        <v>3</v>
      </c>
      <c r="O102" t="s">
        <v>21</v>
      </c>
    </row>
    <row r="103" spans="1:15" x14ac:dyDescent="0.35">
      <c r="A103" t="s">
        <v>168</v>
      </c>
      <c r="B103" s="2">
        <v>46141</v>
      </c>
      <c r="C103" t="s">
        <v>63</v>
      </c>
      <c r="D103" t="s">
        <v>64</v>
      </c>
      <c r="E103" t="s">
        <v>83</v>
      </c>
      <c r="F103" t="s">
        <v>84</v>
      </c>
      <c r="G103">
        <v>7</v>
      </c>
      <c r="H103" s="3">
        <v>450</v>
      </c>
      <c r="I103" s="4">
        <v>10</v>
      </c>
      <c r="J103" s="3">
        <v>315</v>
      </c>
      <c r="K103" s="3">
        <v>2835</v>
      </c>
      <c r="L103" s="3">
        <v>1646.79</v>
      </c>
      <c r="M103" s="3">
        <v>1188.21</v>
      </c>
      <c r="N103" t="s">
        <v>20</v>
      </c>
      <c r="O103" t="s">
        <v>39</v>
      </c>
    </row>
    <row r="104" spans="1:15" x14ac:dyDescent="0.35">
      <c r="A104" t="s">
        <v>169</v>
      </c>
      <c r="B104" s="2">
        <v>46141</v>
      </c>
      <c r="C104" t="s">
        <v>16</v>
      </c>
      <c r="D104" t="s">
        <v>47</v>
      </c>
      <c r="E104" t="s">
        <v>65</v>
      </c>
      <c r="F104" t="s">
        <v>66</v>
      </c>
      <c r="G104">
        <v>3</v>
      </c>
      <c r="H104" s="3">
        <v>190</v>
      </c>
      <c r="I104" s="4">
        <v>0</v>
      </c>
      <c r="J104" s="3">
        <v>0</v>
      </c>
      <c r="K104" s="3">
        <v>570</v>
      </c>
      <c r="L104" s="3">
        <v>288.57</v>
      </c>
      <c r="M104" s="3">
        <v>281.43</v>
      </c>
      <c r="N104" t="s">
        <v>20</v>
      </c>
      <c r="O104" t="s">
        <v>21</v>
      </c>
    </row>
    <row r="105" spans="1:15" x14ac:dyDescent="0.35">
      <c r="A105" t="s">
        <v>170</v>
      </c>
      <c r="B105" s="2">
        <v>46143</v>
      </c>
      <c r="C105" t="s">
        <v>54</v>
      </c>
      <c r="D105" t="s">
        <v>70</v>
      </c>
      <c r="E105" t="s">
        <v>52</v>
      </c>
      <c r="F105" t="s">
        <v>19</v>
      </c>
      <c r="G105">
        <v>2</v>
      </c>
      <c r="H105" s="3">
        <v>850</v>
      </c>
      <c r="I105" s="4">
        <v>0</v>
      </c>
      <c r="J105" s="3">
        <v>0</v>
      </c>
      <c r="K105" s="3">
        <v>1700</v>
      </c>
      <c r="L105" s="3">
        <v>763.14</v>
      </c>
      <c r="M105" s="3">
        <v>936.86</v>
      </c>
      <c r="N105" t="s">
        <v>34</v>
      </c>
      <c r="O105" t="s">
        <v>41</v>
      </c>
    </row>
    <row r="106" spans="1:15" x14ac:dyDescent="0.35">
      <c r="A106" t="s">
        <v>171</v>
      </c>
      <c r="B106" s="2">
        <v>46147</v>
      </c>
      <c r="C106" t="s">
        <v>43</v>
      </c>
      <c r="D106" t="s">
        <v>44</v>
      </c>
      <c r="E106" t="s">
        <v>38</v>
      </c>
      <c r="F106" t="s">
        <v>30</v>
      </c>
      <c r="G106">
        <v>7</v>
      </c>
      <c r="H106" s="3">
        <v>220</v>
      </c>
      <c r="I106" s="4">
        <v>0</v>
      </c>
      <c r="J106" s="3">
        <v>0</v>
      </c>
      <c r="K106" s="3">
        <v>1540</v>
      </c>
      <c r="L106" s="3">
        <v>785.52</v>
      </c>
      <c r="M106" s="3">
        <v>754.48</v>
      </c>
      <c r="N106" t="s">
        <v>20</v>
      </c>
      <c r="O106" t="s">
        <v>31</v>
      </c>
    </row>
    <row r="107" spans="1:15" x14ac:dyDescent="0.35">
      <c r="A107" t="s">
        <v>172</v>
      </c>
      <c r="B107" s="2">
        <v>46147</v>
      </c>
      <c r="C107" t="s">
        <v>36</v>
      </c>
      <c r="D107" t="s">
        <v>37</v>
      </c>
      <c r="E107" t="s">
        <v>83</v>
      </c>
      <c r="F107" t="s">
        <v>84</v>
      </c>
      <c r="G107">
        <v>7</v>
      </c>
      <c r="H107" s="3">
        <v>450</v>
      </c>
      <c r="I107" s="4">
        <v>20</v>
      </c>
      <c r="J107" s="3">
        <v>630</v>
      </c>
      <c r="K107" s="3">
        <v>2520</v>
      </c>
      <c r="L107" s="3">
        <v>1076.46</v>
      </c>
      <c r="M107" s="3">
        <v>1443.54</v>
      </c>
      <c r="N107" t="s">
        <v>34</v>
      </c>
      <c r="O107" t="s">
        <v>39</v>
      </c>
    </row>
    <row r="108" spans="1:15" x14ac:dyDescent="0.35">
      <c r="A108" t="s">
        <v>173</v>
      </c>
      <c r="B108" s="2">
        <v>46149</v>
      </c>
      <c r="C108" t="s">
        <v>43</v>
      </c>
      <c r="D108" t="s">
        <v>44</v>
      </c>
      <c r="E108" t="s">
        <v>65</v>
      </c>
      <c r="F108" t="s">
        <v>66</v>
      </c>
      <c r="G108">
        <v>6</v>
      </c>
      <c r="H108" s="3">
        <v>190</v>
      </c>
      <c r="I108" s="4">
        <v>0</v>
      </c>
      <c r="J108" s="3">
        <v>0</v>
      </c>
      <c r="K108" s="3">
        <v>1140</v>
      </c>
      <c r="L108" s="3">
        <v>550.49</v>
      </c>
      <c r="M108" s="3">
        <v>589.51</v>
      </c>
      <c r="N108" t="s">
        <v>20</v>
      </c>
      <c r="O108" t="s">
        <v>26</v>
      </c>
    </row>
    <row r="109" spans="1:15" x14ac:dyDescent="0.35">
      <c r="A109" t="s">
        <v>174</v>
      </c>
      <c r="B109" s="2">
        <v>46149</v>
      </c>
      <c r="C109" t="s">
        <v>23</v>
      </c>
      <c r="D109" t="s">
        <v>24</v>
      </c>
      <c r="E109" t="s">
        <v>25</v>
      </c>
      <c r="F109" t="s">
        <v>19</v>
      </c>
      <c r="G109">
        <v>4</v>
      </c>
      <c r="H109" s="3">
        <v>750</v>
      </c>
      <c r="I109" s="4">
        <v>0</v>
      </c>
      <c r="J109" s="3">
        <v>0</v>
      </c>
      <c r="K109" s="3">
        <v>3000</v>
      </c>
      <c r="L109" s="3">
        <v>1415.66</v>
      </c>
      <c r="M109" s="3">
        <v>1584.34</v>
      </c>
      <c r="N109" t="s">
        <v>3</v>
      </c>
      <c r="O109" t="s">
        <v>41</v>
      </c>
    </row>
    <row r="110" spans="1:15" x14ac:dyDescent="0.35">
      <c r="A110" t="s">
        <v>175</v>
      </c>
      <c r="B110" s="2">
        <v>46150</v>
      </c>
      <c r="C110" t="s">
        <v>16</v>
      </c>
      <c r="D110" t="s">
        <v>17</v>
      </c>
      <c r="E110" t="s">
        <v>75</v>
      </c>
      <c r="F110" t="s">
        <v>19</v>
      </c>
      <c r="G110">
        <v>7</v>
      </c>
      <c r="H110" s="3">
        <v>800</v>
      </c>
      <c r="I110" s="4">
        <v>10</v>
      </c>
      <c r="J110" s="3">
        <v>560</v>
      </c>
      <c r="K110" s="3">
        <v>5040</v>
      </c>
      <c r="L110" s="3">
        <v>2284.0300000000002</v>
      </c>
      <c r="M110" s="3">
        <v>2755.97</v>
      </c>
      <c r="N110" t="s">
        <v>20</v>
      </c>
      <c r="O110" t="s">
        <v>31</v>
      </c>
    </row>
    <row r="111" spans="1:15" x14ac:dyDescent="0.35">
      <c r="A111" t="s">
        <v>176</v>
      </c>
      <c r="B111" s="2">
        <v>46150</v>
      </c>
      <c r="C111" t="s">
        <v>63</v>
      </c>
      <c r="D111" t="s">
        <v>64</v>
      </c>
      <c r="E111" t="s">
        <v>25</v>
      </c>
      <c r="F111" t="s">
        <v>19</v>
      </c>
      <c r="G111">
        <v>5</v>
      </c>
      <c r="H111" s="3">
        <v>750</v>
      </c>
      <c r="I111" s="4">
        <v>5</v>
      </c>
      <c r="J111" s="3">
        <v>187.5</v>
      </c>
      <c r="K111" s="3">
        <v>3562.5</v>
      </c>
      <c r="L111" s="3">
        <v>1979.05</v>
      </c>
      <c r="M111" s="3">
        <v>1583.45</v>
      </c>
      <c r="N111" t="s">
        <v>34</v>
      </c>
      <c r="O111" t="s">
        <v>21</v>
      </c>
    </row>
    <row r="112" spans="1:15" x14ac:dyDescent="0.35">
      <c r="A112" t="s">
        <v>177</v>
      </c>
      <c r="B112" s="2">
        <v>46152</v>
      </c>
      <c r="C112" t="s">
        <v>112</v>
      </c>
      <c r="D112" t="s">
        <v>113</v>
      </c>
      <c r="E112" t="s">
        <v>25</v>
      </c>
      <c r="F112" t="s">
        <v>19</v>
      </c>
      <c r="G112">
        <v>2</v>
      </c>
      <c r="H112" s="3">
        <v>750</v>
      </c>
      <c r="I112" s="4">
        <v>0</v>
      </c>
      <c r="J112" s="3">
        <v>0</v>
      </c>
      <c r="K112" s="3">
        <v>1500</v>
      </c>
      <c r="L112" s="3">
        <v>760.53</v>
      </c>
      <c r="M112" s="3">
        <v>739.47</v>
      </c>
      <c r="N112" t="s">
        <v>34</v>
      </c>
      <c r="O112" t="s">
        <v>31</v>
      </c>
    </row>
    <row r="113" spans="1:15" x14ac:dyDescent="0.35">
      <c r="A113" t="s">
        <v>178</v>
      </c>
      <c r="B113" s="2">
        <v>46152</v>
      </c>
      <c r="C113" t="s">
        <v>16</v>
      </c>
      <c r="D113" t="s">
        <v>47</v>
      </c>
      <c r="E113" t="s">
        <v>25</v>
      </c>
      <c r="F113" t="s">
        <v>19</v>
      </c>
      <c r="G113">
        <v>3</v>
      </c>
      <c r="H113" s="3">
        <v>750</v>
      </c>
      <c r="I113" s="4">
        <v>0</v>
      </c>
      <c r="J113" s="3">
        <v>0</v>
      </c>
      <c r="K113" s="3">
        <v>2250</v>
      </c>
      <c r="L113" s="3">
        <v>968.76</v>
      </c>
      <c r="M113" s="3">
        <v>1281.24</v>
      </c>
      <c r="N113" t="s">
        <v>3</v>
      </c>
      <c r="O113" t="s">
        <v>41</v>
      </c>
    </row>
    <row r="114" spans="1:15" x14ac:dyDescent="0.35">
      <c r="A114" t="s">
        <v>179</v>
      </c>
      <c r="B114" s="2">
        <v>46154</v>
      </c>
      <c r="C114" t="s">
        <v>112</v>
      </c>
      <c r="D114" t="s">
        <v>113</v>
      </c>
      <c r="E114" t="s">
        <v>25</v>
      </c>
      <c r="F114" t="s">
        <v>19</v>
      </c>
      <c r="G114">
        <v>5</v>
      </c>
      <c r="H114" s="3">
        <v>750</v>
      </c>
      <c r="I114" s="4">
        <v>10</v>
      </c>
      <c r="J114" s="3">
        <v>375</v>
      </c>
      <c r="K114" s="3">
        <v>3375</v>
      </c>
      <c r="L114" s="3">
        <v>1597.71</v>
      </c>
      <c r="M114" s="3">
        <v>1777.29</v>
      </c>
      <c r="N114" t="s">
        <v>3</v>
      </c>
      <c r="O114" t="s">
        <v>21</v>
      </c>
    </row>
    <row r="115" spans="1:15" x14ac:dyDescent="0.35">
      <c r="A115" t="s">
        <v>180</v>
      </c>
      <c r="B115" s="2">
        <v>46155</v>
      </c>
      <c r="C115" t="s">
        <v>81</v>
      </c>
      <c r="D115" t="s">
        <v>82</v>
      </c>
      <c r="E115" t="s">
        <v>106</v>
      </c>
      <c r="F115" t="s">
        <v>66</v>
      </c>
      <c r="G115">
        <v>7</v>
      </c>
      <c r="H115" s="3">
        <v>140</v>
      </c>
      <c r="I115" s="4">
        <v>10</v>
      </c>
      <c r="J115" s="3">
        <v>98</v>
      </c>
      <c r="K115" s="3">
        <v>882</v>
      </c>
      <c r="L115" s="3">
        <v>410.52</v>
      </c>
      <c r="M115" s="3">
        <v>471.48</v>
      </c>
      <c r="N115" t="s">
        <v>20</v>
      </c>
      <c r="O115" t="s">
        <v>41</v>
      </c>
    </row>
    <row r="116" spans="1:15" x14ac:dyDescent="0.35">
      <c r="A116" t="s">
        <v>181</v>
      </c>
      <c r="B116" s="2">
        <v>46157</v>
      </c>
      <c r="C116" t="s">
        <v>16</v>
      </c>
      <c r="D116" t="s">
        <v>17</v>
      </c>
      <c r="E116" t="s">
        <v>88</v>
      </c>
      <c r="F116" t="s">
        <v>49</v>
      </c>
      <c r="G116">
        <v>7</v>
      </c>
      <c r="H116" s="3">
        <v>180</v>
      </c>
      <c r="I116" s="4">
        <v>10</v>
      </c>
      <c r="J116" s="3">
        <v>126</v>
      </c>
      <c r="K116" s="3">
        <v>1134</v>
      </c>
      <c r="L116" s="3">
        <v>662.07</v>
      </c>
      <c r="M116" s="3">
        <v>471.93</v>
      </c>
      <c r="N116" t="s">
        <v>3</v>
      </c>
      <c r="O116" t="s">
        <v>26</v>
      </c>
    </row>
    <row r="117" spans="1:15" x14ac:dyDescent="0.35">
      <c r="A117" t="s">
        <v>182</v>
      </c>
      <c r="B117" s="2">
        <v>46161</v>
      </c>
      <c r="C117" t="s">
        <v>63</v>
      </c>
      <c r="D117" t="s">
        <v>64</v>
      </c>
      <c r="E117" t="s">
        <v>103</v>
      </c>
      <c r="F117" t="s">
        <v>66</v>
      </c>
      <c r="G117">
        <v>5</v>
      </c>
      <c r="H117" s="3">
        <v>170</v>
      </c>
      <c r="I117" s="4">
        <v>0</v>
      </c>
      <c r="J117" s="3">
        <v>0</v>
      </c>
      <c r="K117" s="3">
        <v>850</v>
      </c>
      <c r="L117" s="3">
        <v>376.47</v>
      </c>
      <c r="M117" s="3">
        <v>473.53</v>
      </c>
      <c r="N117" t="s">
        <v>20</v>
      </c>
      <c r="O117" t="s">
        <v>39</v>
      </c>
    </row>
    <row r="118" spans="1:15" x14ac:dyDescent="0.35">
      <c r="A118" t="s">
        <v>183</v>
      </c>
      <c r="B118" s="2">
        <v>46162</v>
      </c>
      <c r="C118" t="s">
        <v>63</v>
      </c>
      <c r="D118" t="s">
        <v>64</v>
      </c>
      <c r="E118" t="s">
        <v>33</v>
      </c>
      <c r="F118" t="s">
        <v>19</v>
      </c>
      <c r="G118">
        <v>1</v>
      </c>
      <c r="H118" s="3">
        <v>900</v>
      </c>
      <c r="I118" s="4">
        <v>0</v>
      </c>
      <c r="J118" s="3">
        <v>0</v>
      </c>
      <c r="K118" s="3">
        <v>900</v>
      </c>
      <c r="L118" s="3">
        <v>504.16</v>
      </c>
      <c r="M118" s="3">
        <v>395.84</v>
      </c>
      <c r="N118" t="s">
        <v>34</v>
      </c>
      <c r="O118" t="s">
        <v>41</v>
      </c>
    </row>
    <row r="119" spans="1:15" x14ac:dyDescent="0.35">
      <c r="A119" t="s">
        <v>184</v>
      </c>
      <c r="B119" s="2">
        <v>46164</v>
      </c>
      <c r="C119" t="s">
        <v>16</v>
      </c>
      <c r="D119" t="s">
        <v>17</v>
      </c>
      <c r="E119" t="s">
        <v>48</v>
      </c>
      <c r="F119" t="s">
        <v>49</v>
      </c>
      <c r="G119">
        <v>3</v>
      </c>
      <c r="H119" s="3">
        <v>220</v>
      </c>
      <c r="I119" s="4">
        <v>10</v>
      </c>
      <c r="J119" s="3">
        <v>66</v>
      </c>
      <c r="K119" s="3">
        <v>594</v>
      </c>
      <c r="L119" s="3">
        <v>312.61</v>
      </c>
      <c r="M119" s="3">
        <v>281.39</v>
      </c>
      <c r="N119" t="s">
        <v>3</v>
      </c>
      <c r="O119" t="s">
        <v>26</v>
      </c>
    </row>
    <row r="120" spans="1:15" x14ac:dyDescent="0.35">
      <c r="A120" t="s">
        <v>185</v>
      </c>
      <c r="B120" s="2">
        <v>46164</v>
      </c>
      <c r="C120" t="s">
        <v>16</v>
      </c>
      <c r="D120" t="s">
        <v>17</v>
      </c>
      <c r="E120" t="s">
        <v>83</v>
      </c>
      <c r="F120" t="s">
        <v>84</v>
      </c>
      <c r="G120">
        <v>7</v>
      </c>
      <c r="H120" s="3">
        <v>450</v>
      </c>
      <c r="I120" s="4">
        <v>0</v>
      </c>
      <c r="J120" s="3">
        <v>0</v>
      </c>
      <c r="K120" s="3">
        <v>3150</v>
      </c>
      <c r="L120" s="3">
        <v>1606.27</v>
      </c>
      <c r="M120" s="3">
        <v>1543.73</v>
      </c>
      <c r="N120" t="s">
        <v>34</v>
      </c>
      <c r="O120" t="s">
        <v>39</v>
      </c>
    </row>
    <row r="121" spans="1:15" x14ac:dyDescent="0.35">
      <c r="A121" t="s">
        <v>186</v>
      </c>
      <c r="B121" s="2">
        <v>46165</v>
      </c>
      <c r="C121" t="s">
        <v>63</v>
      </c>
      <c r="D121" t="s">
        <v>64</v>
      </c>
      <c r="E121" t="s">
        <v>83</v>
      </c>
      <c r="F121" t="s">
        <v>84</v>
      </c>
      <c r="G121">
        <v>5</v>
      </c>
      <c r="H121" s="3">
        <v>450</v>
      </c>
      <c r="I121" s="4">
        <v>5</v>
      </c>
      <c r="J121" s="3">
        <v>112.5</v>
      </c>
      <c r="K121" s="3">
        <v>2137.5</v>
      </c>
      <c r="L121" s="3">
        <v>1281.3499999999999</v>
      </c>
      <c r="M121" s="3">
        <v>856.15</v>
      </c>
      <c r="N121" t="s">
        <v>3</v>
      </c>
      <c r="O121" t="s">
        <v>21</v>
      </c>
    </row>
    <row r="122" spans="1:15" x14ac:dyDescent="0.35">
      <c r="A122" t="s">
        <v>187</v>
      </c>
      <c r="B122" s="2">
        <v>46168</v>
      </c>
      <c r="C122" t="s">
        <v>36</v>
      </c>
      <c r="D122" t="s">
        <v>37</v>
      </c>
      <c r="E122" t="s">
        <v>29</v>
      </c>
      <c r="F122" t="s">
        <v>30</v>
      </c>
      <c r="G122">
        <v>6</v>
      </c>
      <c r="H122" s="3">
        <v>280</v>
      </c>
      <c r="I122" s="4">
        <v>0</v>
      </c>
      <c r="J122" s="3">
        <v>0</v>
      </c>
      <c r="K122" s="3">
        <v>1680</v>
      </c>
      <c r="L122" s="3">
        <v>1024.82</v>
      </c>
      <c r="M122" s="3">
        <v>655.17999999999995</v>
      </c>
      <c r="N122" t="s">
        <v>20</v>
      </c>
      <c r="O122" t="s">
        <v>21</v>
      </c>
    </row>
    <row r="123" spans="1:15" x14ac:dyDescent="0.35">
      <c r="A123" t="s">
        <v>188</v>
      </c>
      <c r="B123" s="2">
        <v>46169</v>
      </c>
      <c r="C123" t="s">
        <v>81</v>
      </c>
      <c r="D123" t="s">
        <v>82</v>
      </c>
      <c r="E123" t="s">
        <v>25</v>
      </c>
      <c r="F123" t="s">
        <v>19</v>
      </c>
      <c r="G123">
        <v>2</v>
      </c>
      <c r="H123" s="3">
        <v>750</v>
      </c>
      <c r="I123" s="4">
        <v>10</v>
      </c>
      <c r="J123" s="3">
        <v>150</v>
      </c>
      <c r="K123" s="3">
        <v>1350</v>
      </c>
      <c r="L123" s="3">
        <v>665.53</v>
      </c>
      <c r="M123" s="3">
        <v>684.47</v>
      </c>
      <c r="N123" t="s">
        <v>20</v>
      </c>
      <c r="O123" t="s">
        <v>41</v>
      </c>
    </row>
    <row r="124" spans="1:15" x14ac:dyDescent="0.35">
      <c r="A124" t="s">
        <v>189</v>
      </c>
      <c r="B124" s="2">
        <v>46170</v>
      </c>
      <c r="C124" t="s">
        <v>23</v>
      </c>
      <c r="D124" t="s">
        <v>28</v>
      </c>
      <c r="E124" t="s">
        <v>65</v>
      </c>
      <c r="F124" t="s">
        <v>66</v>
      </c>
      <c r="G124">
        <v>7</v>
      </c>
      <c r="H124" s="3">
        <v>190</v>
      </c>
      <c r="I124" s="4">
        <v>20</v>
      </c>
      <c r="J124" s="3">
        <v>266</v>
      </c>
      <c r="K124" s="3">
        <v>1064</v>
      </c>
      <c r="L124" s="3">
        <v>575.22</v>
      </c>
      <c r="M124" s="3">
        <v>488.78</v>
      </c>
      <c r="N124" t="s">
        <v>3</v>
      </c>
      <c r="O124" t="s">
        <v>41</v>
      </c>
    </row>
    <row r="125" spans="1:15" x14ac:dyDescent="0.35">
      <c r="A125" t="s">
        <v>190</v>
      </c>
      <c r="B125" s="2">
        <v>46171</v>
      </c>
      <c r="C125" t="s">
        <v>43</v>
      </c>
      <c r="D125" t="s">
        <v>44</v>
      </c>
      <c r="E125" t="s">
        <v>83</v>
      </c>
      <c r="F125" t="s">
        <v>84</v>
      </c>
      <c r="G125">
        <v>5</v>
      </c>
      <c r="H125" s="3">
        <v>450</v>
      </c>
      <c r="I125" s="4">
        <v>15</v>
      </c>
      <c r="J125" s="3">
        <v>337.5</v>
      </c>
      <c r="K125" s="3">
        <v>1912.5</v>
      </c>
      <c r="L125" s="3">
        <v>1042.5</v>
      </c>
      <c r="M125" s="3">
        <v>870</v>
      </c>
      <c r="N125" t="s">
        <v>3</v>
      </c>
      <c r="O125" t="s">
        <v>39</v>
      </c>
    </row>
    <row r="126" spans="1:15" x14ac:dyDescent="0.35">
      <c r="A126" t="s">
        <v>191</v>
      </c>
      <c r="B126" s="2">
        <v>46172</v>
      </c>
      <c r="C126" t="s">
        <v>43</v>
      </c>
      <c r="D126" t="s">
        <v>44</v>
      </c>
      <c r="E126" t="s">
        <v>100</v>
      </c>
      <c r="F126" t="s">
        <v>30</v>
      </c>
      <c r="G126">
        <v>6</v>
      </c>
      <c r="H126" s="3">
        <v>260</v>
      </c>
      <c r="I126" s="4">
        <v>15</v>
      </c>
      <c r="J126" s="3">
        <v>234</v>
      </c>
      <c r="K126" s="3">
        <v>1326</v>
      </c>
      <c r="L126" s="3">
        <v>592.6</v>
      </c>
      <c r="M126" s="3">
        <v>733.4</v>
      </c>
      <c r="N126" t="s">
        <v>20</v>
      </c>
      <c r="O126" t="s">
        <v>21</v>
      </c>
    </row>
    <row r="127" spans="1:15" x14ac:dyDescent="0.35">
      <c r="A127" t="s">
        <v>192</v>
      </c>
      <c r="B127" s="2">
        <v>46173</v>
      </c>
      <c r="C127" t="s">
        <v>16</v>
      </c>
      <c r="D127" t="s">
        <v>47</v>
      </c>
      <c r="E127" t="s">
        <v>131</v>
      </c>
      <c r="F127" t="s">
        <v>57</v>
      </c>
      <c r="G127">
        <v>5</v>
      </c>
      <c r="H127" s="3">
        <v>110</v>
      </c>
      <c r="I127" s="4">
        <v>10</v>
      </c>
      <c r="J127" s="3">
        <v>55</v>
      </c>
      <c r="K127" s="3">
        <v>495</v>
      </c>
      <c r="L127" s="3">
        <v>284.42</v>
      </c>
      <c r="M127" s="3">
        <v>210.58</v>
      </c>
      <c r="N127" t="s">
        <v>34</v>
      </c>
      <c r="O127" t="s">
        <v>26</v>
      </c>
    </row>
    <row r="128" spans="1:15" x14ac:dyDescent="0.35">
      <c r="A128" t="s">
        <v>193</v>
      </c>
      <c r="B128" s="2">
        <v>46174</v>
      </c>
      <c r="C128" t="s">
        <v>63</v>
      </c>
      <c r="D128" t="s">
        <v>64</v>
      </c>
      <c r="E128" t="s">
        <v>100</v>
      </c>
      <c r="F128" t="s">
        <v>30</v>
      </c>
      <c r="G128">
        <v>1</v>
      </c>
      <c r="H128" s="3">
        <v>260</v>
      </c>
      <c r="I128" s="4">
        <v>15</v>
      </c>
      <c r="J128" s="3">
        <v>39</v>
      </c>
      <c r="K128" s="3">
        <v>221</v>
      </c>
      <c r="L128" s="3">
        <v>96.55</v>
      </c>
      <c r="M128" s="3">
        <v>124.45</v>
      </c>
      <c r="N128" t="s">
        <v>34</v>
      </c>
      <c r="O128" t="s">
        <v>41</v>
      </c>
    </row>
    <row r="129" spans="1:15" x14ac:dyDescent="0.35">
      <c r="A129" t="s">
        <v>194</v>
      </c>
      <c r="B129" s="2">
        <v>46174</v>
      </c>
      <c r="C129" t="s">
        <v>36</v>
      </c>
      <c r="D129" t="s">
        <v>37</v>
      </c>
      <c r="E129" t="s">
        <v>106</v>
      </c>
      <c r="F129" t="s">
        <v>66</v>
      </c>
      <c r="G129">
        <v>2</v>
      </c>
      <c r="H129" s="3">
        <v>140</v>
      </c>
      <c r="I129" s="4">
        <v>0</v>
      </c>
      <c r="J129" s="3">
        <v>0</v>
      </c>
      <c r="K129" s="3">
        <v>280</v>
      </c>
      <c r="L129" s="3">
        <v>159.68</v>
      </c>
      <c r="M129" s="3">
        <v>120.32</v>
      </c>
      <c r="N129" t="s">
        <v>3</v>
      </c>
      <c r="O129" t="s">
        <v>41</v>
      </c>
    </row>
    <row r="130" spans="1:15" x14ac:dyDescent="0.35">
      <c r="A130" t="s">
        <v>195</v>
      </c>
      <c r="B130" s="2">
        <v>46176</v>
      </c>
      <c r="C130" t="s">
        <v>23</v>
      </c>
      <c r="D130" t="s">
        <v>24</v>
      </c>
      <c r="E130" t="s">
        <v>61</v>
      </c>
      <c r="F130" t="s">
        <v>57</v>
      </c>
      <c r="G130">
        <v>1</v>
      </c>
      <c r="H130" s="3">
        <v>100</v>
      </c>
      <c r="I130" s="4">
        <v>0</v>
      </c>
      <c r="J130" s="3">
        <v>0</v>
      </c>
      <c r="K130" s="3">
        <v>100</v>
      </c>
      <c r="L130" s="3">
        <v>47.84</v>
      </c>
      <c r="M130" s="3">
        <v>52.16</v>
      </c>
      <c r="N130" t="s">
        <v>20</v>
      </c>
      <c r="O130" t="s">
        <v>21</v>
      </c>
    </row>
    <row r="131" spans="1:15" x14ac:dyDescent="0.35">
      <c r="A131" t="s">
        <v>196</v>
      </c>
      <c r="B131" s="2">
        <v>46177</v>
      </c>
      <c r="C131" t="s">
        <v>16</v>
      </c>
      <c r="D131" t="s">
        <v>47</v>
      </c>
      <c r="E131" t="s">
        <v>103</v>
      </c>
      <c r="F131" t="s">
        <v>66</v>
      </c>
      <c r="G131">
        <v>8</v>
      </c>
      <c r="H131" s="3">
        <v>170</v>
      </c>
      <c r="I131" s="4">
        <v>20</v>
      </c>
      <c r="J131" s="3">
        <v>272</v>
      </c>
      <c r="K131" s="3">
        <v>1088</v>
      </c>
      <c r="L131" s="3">
        <v>548.44000000000005</v>
      </c>
      <c r="M131" s="3">
        <v>539.55999999999995</v>
      </c>
      <c r="N131" t="s">
        <v>34</v>
      </c>
      <c r="O131" t="s">
        <v>31</v>
      </c>
    </row>
    <row r="132" spans="1:15" x14ac:dyDescent="0.35">
      <c r="A132" t="s">
        <v>197</v>
      </c>
      <c r="B132" s="2">
        <v>46177</v>
      </c>
      <c r="C132" t="s">
        <v>16</v>
      </c>
      <c r="D132" t="s">
        <v>47</v>
      </c>
      <c r="E132" t="s">
        <v>131</v>
      </c>
      <c r="F132" t="s">
        <v>57</v>
      </c>
      <c r="G132">
        <v>1</v>
      </c>
      <c r="H132" s="3">
        <v>110</v>
      </c>
      <c r="I132" s="4">
        <v>5</v>
      </c>
      <c r="J132" s="3">
        <v>5.5</v>
      </c>
      <c r="K132" s="3">
        <v>104.5</v>
      </c>
      <c r="L132" s="3">
        <v>45.16</v>
      </c>
      <c r="M132" s="3">
        <v>59.34</v>
      </c>
      <c r="N132" t="s">
        <v>34</v>
      </c>
      <c r="O132" t="s">
        <v>26</v>
      </c>
    </row>
    <row r="133" spans="1:15" x14ac:dyDescent="0.35">
      <c r="A133" t="s">
        <v>198</v>
      </c>
      <c r="B133" s="2">
        <v>46180</v>
      </c>
      <c r="C133" t="s">
        <v>81</v>
      </c>
      <c r="D133" t="s">
        <v>82</v>
      </c>
      <c r="E133" t="s">
        <v>56</v>
      </c>
      <c r="F133" t="s">
        <v>57</v>
      </c>
      <c r="G133">
        <v>4</v>
      </c>
      <c r="H133" s="3">
        <v>90</v>
      </c>
      <c r="I133" s="4">
        <v>10</v>
      </c>
      <c r="J133" s="3">
        <v>36</v>
      </c>
      <c r="K133" s="3">
        <v>324</v>
      </c>
      <c r="L133" s="3">
        <v>178.47</v>
      </c>
      <c r="M133" s="3">
        <v>145.53</v>
      </c>
      <c r="N133" t="s">
        <v>34</v>
      </c>
      <c r="O133" t="s">
        <v>31</v>
      </c>
    </row>
    <row r="134" spans="1:15" x14ac:dyDescent="0.35">
      <c r="A134" t="s">
        <v>199</v>
      </c>
      <c r="B134" s="2">
        <v>46180</v>
      </c>
      <c r="C134" t="s">
        <v>23</v>
      </c>
      <c r="D134" t="s">
        <v>24</v>
      </c>
      <c r="E134" t="s">
        <v>131</v>
      </c>
      <c r="F134" t="s">
        <v>57</v>
      </c>
      <c r="G134">
        <v>7</v>
      </c>
      <c r="H134" s="3">
        <v>110</v>
      </c>
      <c r="I134" s="4">
        <v>15</v>
      </c>
      <c r="J134" s="3">
        <v>115.5</v>
      </c>
      <c r="K134" s="3">
        <v>654.5</v>
      </c>
      <c r="L134" s="3">
        <v>391.43</v>
      </c>
      <c r="M134" s="3">
        <v>263.07</v>
      </c>
      <c r="N134" t="s">
        <v>3</v>
      </c>
      <c r="O134" t="s">
        <v>31</v>
      </c>
    </row>
    <row r="135" spans="1:15" x14ac:dyDescent="0.35">
      <c r="A135" t="s">
        <v>200</v>
      </c>
      <c r="B135" s="2">
        <v>46181</v>
      </c>
      <c r="C135" t="s">
        <v>112</v>
      </c>
      <c r="D135" t="s">
        <v>113</v>
      </c>
      <c r="E135" t="s">
        <v>106</v>
      </c>
      <c r="F135" t="s">
        <v>66</v>
      </c>
      <c r="G135">
        <v>1</v>
      </c>
      <c r="H135" s="3">
        <v>140</v>
      </c>
      <c r="I135" s="4">
        <v>20</v>
      </c>
      <c r="J135" s="3">
        <v>28</v>
      </c>
      <c r="K135" s="3">
        <v>112</v>
      </c>
      <c r="L135" s="3">
        <v>57.21</v>
      </c>
      <c r="M135" s="3">
        <v>54.79</v>
      </c>
      <c r="N135" t="s">
        <v>20</v>
      </c>
      <c r="O135" t="s">
        <v>26</v>
      </c>
    </row>
    <row r="136" spans="1:15" x14ac:dyDescent="0.35">
      <c r="A136" t="s">
        <v>201</v>
      </c>
      <c r="B136" s="2">
        <v>46181</v>
      </c>
      <c r="C136" t="s">
        <v>63</v>
      </c>
      <c r="D136" t="s">
        <v>64</v>
      </c>
      <c r="E136" t="s">
        <v>100</v>
      </c>
      <c r="F136" t="s">
        <v>30</v>
      </c>
      <c r="G136">
        <v>5</v>
      </c>
      <c r="H136" s="3">
        <v>260</v>
      </c>
      <c r="I136" s="4">
        <v>10</v>
      </c>
      <c r="J136" s="3">
        <v>130</v>
      </c>
      <c r="K136" s="3">
        <v>1170</v>
      </c>
      <c r="L136" s="3">
        <v>675.66</v>
      </c>
      <c r="M136" s="3">
        <v>494.34</v>
      </c>
      <c r="N136" t="s">
        <v>20</v>
      </c>
      <c r="O136" t="s">
        <v>41</v>
      </c>
    </row>
    <row r="137" spans="1:15" x14ac:dyDescent="0.35">
      <c r="A137" t="s">
        <v>202</v>
      </c>
      <c r="B137" s="2">
        <v>46182</v>
      </c>
      <c r="C137" t="s">
        <v>36</v>
      </c>
      <c r="D137" t="s">
        <v>37</v>
      </c>
      <c r="E137" t="s">
        <v>29</v>
      </c>
      <c r="F137" t="s">
        <v>30</v>
      </c>
      <c r="G137">
        <v>2</v>
      </c>
      <c r="H137" s="3">
        <v>280</v>
      </c>
      <c r="I137" s="4">
        <v>15</v>
      </c>
      <c r="J137" s="3">
        <v>84</v>
      </c>
      <c r="K137" s="3">
        <v>476</v>
      </c>
      <c r="L137" s="3">
        <v>201.8</v>
      </c>
      <c r="M137" s="3">
        <v>274.2</v>
      </c>
      <c r="N137" t="s">
        <v>34</v>
      </c>
      <c r="O137" t="s">
        <v>31</v>
      </c>
    </row>
    <row r="138" spans="1:15" x14ac:dyDescent="0.35">
      <c r="A138" t="s">
        <v>203</v>
      </c>
      <c r="B138" s="2">
        <v>46184</v>
      </c>
      <c r="C138" t="s">
        <v>16</v>
      </c>
      <c r="D138" t="s">
        <v>17</v>
      </c>
      <c r="E138" t="s">
        <v>83</v>
      </c>
      <c r="F138" t="s">
        <v>84</v>
      </c>
      <c r="G138">
        <v>1</v>
      </c>
      <c r="H138" s="3">
        <v>450</v>
      </c>
      <c r="I138" s="4">
        <v>0</v>
      </c>
      <c r="J138" s="3">
        <v>0</v>
      </c>
      <c r="K138" s="3">
        <v>450</v>
      </c>
      <c r="L138" s="3">
        <v>197.14</v>
      </c>
      <c r="M138" s="3">
        <v>252.86</v>
      </c>
      <c r="N138" t="s">
        <v>34</v>
      </c>
      <c r="O138" t="s">
        <v>31</v>
      </c>
    </row>
    <row r="139" spans="1:15" x14ac:dyDescent="0.35">
      <c r="A139" t="s">
        <v>204</v>
      </c>
      <c r="B139" s="2">
        <v>46186</v>
      </c>
      <c r="C139" t="s">
        <v>54</v>
      </c>
      <c r="D139" t="s">
        <v>70</v>
      </c>
      <c r="E139" t="s">
        <v>45</v>
      </c>
      <c r="F139" t="s">
        <v>30</v>
      </c>
      <c r="G139">
        <v>2</v>
      </c>
      <c r="H139" s="3">
        <v>250</v>
      </c>
      <c r="I139" s="4">
        <v>15</v>
      </c>
      <c r="J139" s="3">
        <v>75</v>
      </c>
      <c r="K139" s="3">
        <v>425</v>
      </c>
      <c r="L139" s="3">
        <v>254.86</v>
      </c>
      <c r="M139" s="3">
        <v>170.14</v>
      </c>
      <c r="N139" t="s">
        <v>34</v>
      </c>
      <c r="O139" t="s">
        <v>39</v>
      </c>
    </row>
    <row r="140" spans="1:15" x14ac:dyDescent="0.35">
      <c r="A140" t="s">
        <v>205</v>
      </c>
      <c r="B140" s="2">
        <v>46186</v>
      </c>
      <c r="C140" t="s">
        <v>16</v>
      </c>
      <c r="D140" t="s">
        <v>17</v>
      </c>
      <c r="E140" t="s">
        <v>75</v>
      </c>
      <c r="F140" t="s">
        <v>19</v>
      </c>
      <c r="G140">
        <v>6</v>
      </c>
      <c r="H140" s="3">
        <v>800</v>
      </c>
      <c r="I140" s="4">
        <v>10</v>
      </c>
      <c r="J140" s="3">
        <v>480</v>
      </c>
      <c r="K140" s="3">
        <v>4320</v>
      </c>
      <c r="L140" s="3">
        <v>1910.04</v>
      </c>
      <c r="M140" s="3">
        <v>2409.96</v>
      </c>
      <c r="N140" t="s">
        <v>3</v>
      </c>
      <c r="O140" t="s">
        <v>26</v>
      </c>
    </row>
    <row r="141" spans="1:15" x14ac:dyDescent="0.35">
      <c r="A141" t="s">
        <v>206</v>
      </c>
      <c r="B141" s="2">
        <v>46186</v>
      </c>
      <c r="C141" t="s">
        <v>23</v>
      </c>
      <c r="D141" t="s">
        <v>28</v>
      </c>
      <c r="E141" t="s">
        <v>88</v>
      </c>
      <c r="F141" t="s">
        <v>49</v>
      </c>
      <c r="G141">
        <v>3</v>
      </c>
      <c r="H141" s="3">
        <v>180</v>
      </c>
      <c r="I141" s="4">
        <v>20</v>
      </c>
      <c r="J141" s="3">
        <v>108</v>
      </c>
      <c r="K141" s="3">
        <v>432</v>
      </c>
      <c r="L141" s="3">
        <v>198.94</v>
      </c>
      <c r="M141" s="3">
        <v>233.06</v>
      </c>
      <c r="N141" t="s">
        <v>34</v>
      </c>
      <c r="O141" t="s">
        <v>21</v>
      </c>
    </row>
    <row r="142" spans="1:15" x14ac:dyDescent="0.35">
      <c r="A142" t="s">
        <v>207</v>
      </c>
      <c r="B142" s="2">
        <v>46188</v>
      </c>
      <c r="C142" t="s">
        <v>63</v>
      </c>
      <c r="D142" t="s">
        <v>64</v>
      </c>
      <c r="E142" t="s">
        <v>103</v>
      </c>
      <c r="F142" t="s">
        <v>66</v>
      </c>
      <c r="G142">
        <v>4</v>
      </c>
      <c r="H142" s="3">
        <v>170</v>
      </c>
      <c r="I142" s="4">
        <v>10</v>
      </c>
      <c r="J142" s="3">
        <v>68</v>
      </c>
      <c r="K142" s="3">
        <v>612</v>
      </c>
      <c r="L142" s="3">
        <v>350.54</v>
      </c>
      <c r="M142" s="3">
        <v>261.45999999999998</v>
      </c>
      <c r="N142" t="s">
        <v>34</v>
      </c>
      <c r="O142" t="s">
        <v>21</v>
      </c>
    </row>
    <row r="143" spans="1:15" x14ac:dyDescent="0.35">
      <c r="A143" t="s">
        <v>208</v>
      </c>
      <c r="B143" s="2">
        <v>46188</v>
      </c>
      <c r="C143" t="s">
        <v>36</v>
      </c>
      <c r="D143" t="s">
        <v>37</v>
      </c>
      <c r="E143" t="s">
        <v>86</v>
      </c>
      <c r="F143" t="s">
        <v>49</v>
      </c>
      <c r="G143">
        <v>7</v>
      </c>
      <c r="H143" s="3">
        <v>200</v>
      </c>
      <c r="I143" s="4">
        <v>15</v>
      </c>
      <c r="J143" s="3">
        <v>210</v>
      </c>
      <c r="K143" s="3">
        <v>1190</v>
      </c>
      <c r="L143" s="3">
        <v>695.25</v>
      </c>
      <c r="M143" s="3">
        <v>494.75</v>
      </c>
      <c r="N143" t="s">
        <v>20</v>
      </c>
      <c r="O143" t="s">
        <v>26</v>
      </c>
    </row>
    <row r="144" spans="1:15" x14ac:dyDescent="0.35">
      <c r="A144" t="s">
        <v>209</v>
      </c>
      <c r="B144" s="2">
        <v>46189</v>
      </c>
      <c r="C144" t="s">
        <v>63</v>
      </c>
      <c r="D144" t="s">
        <v>64</v>
      </c>
      <c r="E144" t="s">
        <v>48</v>
      </c>
      <c r="F144" t="s">
        <v>49</v>
      </c>
      <c r="G144">
        <v>4</v>
      </c>
      <c r="H144" s="3">
        <v>220</v>
      </c>
      <c r="I144" s="4">
        <v>10</v>
      </c>
      <c r="J144" s="3">
        <v>88</v>
      </c>
      <c r="K144" s="3">
        <v>792</v>
      </c>
      <c r="L144" s="3">
        <v>396.01</v>
      </c>
      <c r="M144" s="3">
        <v>395.99</v>
      </c>
      <c r="N144" t="s">
        <v>34</v>
      </c>
      <c r="O144" t="s">
        <v>31</v>
      </c>
    </row>
    <row r="145" spans="1:15" x14ac:dyDescent="0.35">
      <c r="A145" t="s">
        <v>210</v>
      </c>
      <c r="B145" s="2">
        <v>46193</v>
      </c>
      <c r="C145" t="s">
        <v>23</v>
      </c>
      <c r="D145" t="s">
        <v>24</v>
      </c>
      <c r="E145" t="s">
        <v>75</v>
      </c>
      <c r="F145" t="s">
        <v>19</v>
      </c>
      <c r="G145">
        <v>2</v>
      </c>
      <c r="H145" s="3">
        <v>800</v>
      </c>
      <c r="I145" s="4">
        <v>15</v>
      </c>
      <c r="J145" s="3">
        <v>240</v>
      </c>
      <c r="K145" s="3">
        <v>1360</v>
      </c>
      <c r="L145" s="3">
        <v>602.66999999999996</v>
      </c>
      <c r="M145" s="3">
        <v>757.33</v>
      </c>
      <c r="N145" t="s">
        <v>20</v>
      </c>
      <c r="O145" t="s">
        <v>31</v>
      </c>
    </row>
    <row r="146" spans="1:15" x14ac:dyDescent="0.35">
      <c r="A146" t="s">
        <v>211</v>
      </c>
      <c r="B146" s="2">
        <v>46196</v>
      </c>
      <c r="C146" t="s">
        <v>81</v>
      </c>
      <c r="D146" t="s">
        <v>82</v>
      </c>
      <c r="E146" t="s">
        <v>65</v>
      </c>
      <c r="F146" t="s">
        <v>66</v>
      </c>
      <c r="G146">
        <v>6</v>
      </c>
      <c r="H146" s="3">
        <v>190</v>
      </c>
      <c r="I146" s="4">
        <v>20</v>
      </c>
      <c r="J146" s="3">
        <v>228</v>
      </c>
      <c r="K146" s="3">
        <v>912</v>
      </c>
      <c r="L146" s="3">
        <v>496.19</v>
      </c>
      <c r="M146" s="3">
        <v>415.81</v>
      </c>
      <c r="N146" t="s">
        <v>20</v>
      </c>
      <c r="O146" t="s">
        <v>39</v>
      </c>
    </row>
    <row r="147" spans="1:15" x14ac:dyDescent="0.35">
      <c r="A147" t="s">
        <v>212</v>
      </c>
      <c r="B147" s="2">
        <v>46197</v>
      </c>
      <c r="C147" t="s">
        <v>16</v>
      </c>
      <c r="D147" t="s">
        <v>17</v>
      </c>
      <c r="E147" t="s">
        <v>86</v>
      </c>
      <c r="F147" t="s">
        <v>49</v>
      </c>
      <c r="G147">
        <v>4</v>
      </c>
      <c r="H147" s="3">
        <v>200</v>
      </c>
      <c r="I147" s="4">
        <v>5</v>
      </c>
      <c r="J147" s="3">
        <v>40</v>
      </c>
      <c r="K147" s="3">
        <v>760</v>
      </c>
      <c r="L147" s="3">
        <v>471.01</v>
      </c>
      <c r="M147" s="3">
        <v>288.99</v>
      </c>
      <c r="N147" t="s">
        <v>20</v>
      </c>
      <c r="O147" t="s">
        <v>39</v>
      </c>
    </row>
    <row r="148" spans="1:15" x14ac:dyDescent="0.35">
      <c r="A148" t="s">
        <v>213</v>
      </c>
      <c r="B148" s="2">
        <v>46197</v>
      </c>
      <c r="C148" t="s">
        <v>112</v>
      </c>
      <c r="D148" t="s">
        <v>113</v>
      </c>
      <c r="E148" t="s">
        <v>48</v>
      </c>
      <c r="F148" t="s">
        <v>49</v>
      </c>
      <c r="G148">
        <v>7</v>
      </c>
      <c r="H148" s="3">
        <v>220</v>
      </c>
      <c r="I148" s="4">
        <v>20</v>
      </c>
      <c r="J148" s="3">
        <v>308</v>
      </c>
      <c r="K148" s="3">
        <v>1232</v>
      </c>
      <c r="L148" s="3">
        <v>614.67999999999995</v>
      </c>
      <c r="M148" s="3">
        <v>617.32000000000005</v>
      </c>
      <c r="N148" t="s">
        <v>20</v>
      </c>
      <c r="O148" t="s">
        <v>26</v>
      </c>
    </row>
    <row r="149" spans="1:15" x14ac:dyDescent="0.35">
      <c r="A149" t="s">
        <v>214</v>
      </c>
      <c r="B149" s="2">
        <v>46198</v>
      </c>
      <c r="C149" t="s">
        <v>23</v>
      </c>
      <c r="D149" t="s">
        <v>24</v>
      </c>
      <c r="E149" t="s">
        <v>25</v>
      </c>
      <c r="F149" t="s">
        <v>19</v>
      </c>
      <c r="G149">
        <v>3</v>
      </c>
      <c r="H149" s="3">
        <v>750</v>
      </c>
      <c r="I149" s="4">
        <v>0</v>
      </c>
      <c r="J149" s="3">
        <v>0</v>
      </c>
      <c r="K149" s="3">
        <v>2250</v>
      </c>
      <c r="L149" s="3">
        <v>1212.56</v>
      </c>
      <c r="M149" s="3">
        <v>1037.44</v>
      </c>
      <c r="N149" t="s">
        <v>3</v>
      </c>
      <c r="O149" t="s">
        <v>39</v>
      </c>
    </row>
    <row r="150" spans="1:15" x14ac:dyDescent="0.35">
      <c r="A150" t="s">
        <v>215</v>
      </c>
      <c r="B150" s="2">
        <v>46200</v>
      </c>
      <c r="C150" t="s">
        <v>81</v>
      </c>
      <c r="D150" t="s">
        <v>82</v>
      </c>
      <c r="E150" t="s">
        <v>48</v>
      </c>
      <c r="F150" t="s">
        <v>49</v>
      </c>
      <c r="G150">
        <v>2</v>
      </c>
      <c r="H150" s="3">
        <v>220</v>
      </c>
      <c r="I150" s="4">
        <v>0</v>
      </c>
      <c r="J150" s="3">
        <v>0</v>
      </c>
      <c r="K150" s="3">
        <v>440</v>
      </c>
      <c r="L150" s="3">
        <v>267.18</v>
      </c>
      <c r="M150" s="3">
        <v>172.82</v>
      </c>
      <c r="N150" t="s">
        <v>20</v>
      </c>
      <c r="O150" t="s">
        <v>39</v>
      </c>
    </row>
    <row r="151" spans="1:15" x14ac:dyDescent="0.35">
      <c r="A151" t="s">
        <v>216</v>
      </c>
      <c r="B151" s="2">
        <v>46201</v>
      </c>
      <c r="C151" t="s">
        <v>36</v>
      </c>
      <c r="D151" t="s">
        <v>37</v>
      </c>
      <c r="E151" t="s">
        <v>103</v>
      </c>
      <c r="F151" t="s">
        <v>66</v>
      </c>
      <c r="G151">
        <v>8</v>
      </c>
      <c r="H151" s="3">
        <v>170</v>
      </c>
      <c r="I151" s="4">
        <v>10</v>
      </c>
      <c r="J151" s="3">
        <v>136</v>
      </c>
      <c r="K151" s="3">
        <v>1224</v>
      </c>
      <c r="L151" s="3">
        <v>606.87</v>
      </c>
      <c r="M151" s="3">
        <v>617.13</v>
      </c>
      <c r="N151" t="s">
        <v>20</v>
      </c>
      <c r="O151" t="s">
        <v>41</v>
      </c>
    </row>
    <row r="152" spans="1:15" x14ac:dyDescent="0.35">
      <c r="A152" t="s">
        <v>217</v>
      </c>
      <c r="B152" s="2">
        <v>46203</v>
      </c>
      <c r="C152" t="s">
        <v>23</v>
      </c>
      <c r="D152" t="s">
        <v>24</v>
      </c>
      <c r="E152" t="s">
        <v>86</v>
      </c>
      <c r="F152" t="s">
        <v>49</v>
      </c>
      <c r="G152">
        <v>1</v>
      </c>
      <c r="H152" s="3">
        <v>200</v>
      </c>
      <c r="I152" s="4">
        <v>20</v>
      </c>
      <c r="J152" s="3">
        <v>40</v>
      </c>
      <c r="K152" s="3">
        <v>160</v>
      </c>
      <c r="L152" s="3">
        <v>93.67</v>
      </c>
      <c r="M152" s="3">
        <v>66.33</v>
      </c>
      <c r="N152" t="s">
        <v>34</v>
      </c>
      <c r="O152" t="s">
        <v>21</v>
      </c>
    </row>
    <row r="153" spans="1:15" x14ac:dyDescent="0.35">
      <c r="A153" t="s">
        <v>218</v>
      </c>
      <c r="B153" s="2">
        <v>46203</v>
      </c>
      <c r="C153" t="s">
        <v>36</v>
      </c>
      <c r="D153" t="s">
        <v>37</v>
      </c>
      <c r="E153" t="s">
        <v>65</v>
      </c>
      <c r="F153" t="s">
        <v>66</v>
      </c>
      <c r="G153">
        <v>8</v>
      </c>
      <c r="H153" s="3">
        <v>190</v>
      </c>
      <c r="I153" s="4">
        <v>0</v>
      </c>
      <c r="J153" s="3">
        <v>0</v>
      </c>
      <c r="K153" s="3">
        <v>1520</v>
      </c>
      <c r="L153" s="3">
        <v>837.05</v>
      </c>
      <c r="M153" s="3">
        <v>682.95</v>
      </c>
      <c r="N153" t="s">
        <v>3</v>
      </c>
      <c r="O153" t="s">
        <v>31</v>
      </c>
    </row>
    <row r="154" spans="1:15" x14ac:dyDescent="0.35">
      <c r="A154" t="s">
        <v>219</v>
      </c>
      <c r="B154" s="2">
        <v>46205</v>
      </c>
      <c r="C154" t="s">
        <v>112</v>
      </c>
      <c r="D154" t="s">
        <v>113</v>
      </c>
      <c r="E154" t="s">
        <v>103</v>
      </c>
      <c r="F154" t="s">
        <v>66</v>
      </c>
      <c r="G154">
        <v>5</v>
      </c>
      <c r="H154" s="3">
        <v>170</v>
      </c>
      <c r="I154" s="4">
        <v>10</v>
      </c>
      <c r="J154" s="3">
        <v>85</v>
      </c>
      <c r="K154" s="3">
        <v>765</v>
      </c>
      <c r="L154" s="3">
        <v>367.58</v>
      </c>
      <c r="M154" s="3">
        <v>397.42</v>
      </c>
      <c r="N154" t="s">
        <v>34</v>
      </c>
      <c r="O154" t="s">
        <v>26</v>
      </c>
    </row>
    <row r="155" spans="1:15" x14ac:dyDescent="0.35">
      <c r="A155" t="s">
        <v>220</v>
      </c>
      <c r="B155" s="2">
        <v>46205</v>
      </c>
      <c r="C155" t="s">
        <v>23</v>
      </c>
      <c r="D155" t="s">
        <v>24</v>
      </c>
      <c r="E155" t="s">
        <v>61</v>
      </c>
      <c r="F155" t="s">
        <v>57</v>
      </c>
      <c r="G155">
        <v>7</v>
      </c>
      <c r="H155" s="3">
        <v>100</v>
      </c>
      <c r="I155" s="4">
        <v>0</v>
      </c>
      <c r="J155" s="3">
        <v>0</v>
      </c>
      <c r="K155" s="3">
        <v>700</v>
      </c>
      <c r="L155" s="3">
        <v>387.5</v>
      </c>
      <c r="M155" s="3">
        <v>312.5</v>
      </c>
      <c r="N155" t="s">
        <v>3</v>
      </c>
      <c r="O155" t="s">
        <v>26</v>
      </c>
    </row>
    <row r="156" spans="1:15" x14ac:dyDescent="0.35">
      <c r="A156" t="s">
        <v>221</v>
      </c>
      <c r="B156" s="2">
        <v>46206</v>
      </c>
      <c r="C156" t="s">
        <v>36</v>
      </c>
      <c r="D156" t="s">
        <v>37</v>
      </c>
      <c r="E156" t="s">
        <v>18</v>
      </c>
      <c r="F156" t="s">
        <v>19</v>
      </c>
      <c r="G156">
        <v>7</v>
      </c>
      <c r="H156" s="3">
        <v>950</v>
      </c>
      <c r="I156" s="4">
        <v>0</v>
      </c>
      <c r="J156" s="3">
        <v>0</v>
      </c>
      <c r="K156" s="3">
        <v>6650</v>
      </c>
      <c r="L156" s="3">
        <v>3417.2</v>
      </c>
      <c r="M156" s="3">
        <v>3232.8</v>
      </c>
      <c r="N156" t="s">
        <v>34</v>
      </c>
      <c r="O156" t="s">
        <v>26</v>
      </c>
    </row>
    <row r="157" spans="1:15" x14ac:dyDescent="0.35">
      <c r="A157" t="s">
        <v>222</v>
      </c>
      <c r="B157" s="2">
        <v>46207</v>
      </c>
      <c r="C157" t="s">
        <v>36</v>
      </c>
      <c r="D157" t="s">
        <v>37</v>
      </c>
      <c r="E157" t="s">
        <v>106</v>
      </c>
      <c r="F157" t="s">
        <v>66</v>
      </c>
      <c r="G157">
        <v>3</v>
      </c>
      <c r="H157" s="3">
        <v>140</v>
      </c>
      <c r="I157" s="4">
        <v>0</v>
      </c>
      <c r="J157" s="3">
        <v>0</v>
      </c>
      <c r="K157" s="3">
        <v>420</v>
      </c>
      <c r="L157" s="3">
        <v>223.54</v>
      </c>
      <c r="M157" s="3">
        <v>196.46</v>
      </c>
      <c r="N157" t="s">
        <v>3</v>
      </c>
      <c r="O157" t="s">
        <v>39</v>
      </c>
    </row>
    <row r="158" spans="1:15" x14ac:dyDescent="0.35">
      <c r="A158" t="s">
        <v>223</v>
      </c>
      <c r="B158" s="2">
        <v>46208</v>
      </c>
      <c r="C158" t="s">
        <v>43</v>
      </c>
      <c r="D158" t="s">
        <v>44</v>
      </c>
      <c r="E158" t="s">
        <v>68</v>
      </c>
      <c r="F158" t="s">
        <v>66</v>
      </c>
      <c r="G158">
        <v>1</v>
      </c>
      <c r="H158" s="3">
        <v>160</v>
      </c>
      <c r="I158" s="4">
        <v>10</v>
      </c>
      <c r="J158" s="3">
        <v>16</v>
      </c>
      <c r="K158" s="3">
        <v>144</v>
      </c>
      <c r="L158" s="3">
        <v>76.42</v>
      </c>
      <c r="M158" s="3">
        <v>67.58</v>
      </c>
      <c r="N158" t="s">
        <v>3</v>
      </c>
      <c r="O158" t="s">
        <v>39</v>
      </c>
    </row>
    <row r="159" spans="1:15" x14ac:dyDescent="0.35">
      <c r="A159" t="s">
        <v>224</v>
      </c>
      <c r="B159" s="2">
        <v>46209</v>
      </c>
      <c r="C159" t="s">
        <v>36</v>
      </c>
      <c r="D159" t="s">
        <v>37</v>
      </c>
      <c r="E159" t="s">
        <v>103</v>
      </c>
      <c r="F159" t="s">
        <v>66</v>
      </c>
      <c r="G159">
        <v>5</v>
      </c>
      <c r="H159" s="3">
        <v>170</v>
      </c>
      <c r="I159" s="4">
        <v>10</v>
      </c>
      <c r="J159" s="3">
        <v>85</v>
      </c>
      <c r="K159" s="3">
        <v>765</v>
      </c>
      <c r="L159" s="3">
        <v>398.53</v>
      </c>
      <c r="M159" s="3">
        <v>366.47</v>
      </c>
      <c r="N159" t="s">
        <v>20</v>
      </c>
      <c r="O159" t="s">
        <v>26</v>
      </c>
    </row>
    <row r="160" spans="1:15" x14ac:dyDescent="0.35">
      <c r="A160" t="s">
        <v>225</v>
      </c>
      <c r="B160" s="2">
        <v>46210</v>
      </c>
      <c r="C160" t="s">
        <v>54</v>
      </c>
      <c r="D160" t="s">
        <v>70</v>
      </c>
      <c r="E160" t="s">
        <v>106</v>
      </c>
      <c r="F160" t="s">
        <v>66</v>
      </c>
      <c r="G160">
        <v>3</v>
      </c>
      <c r="H160" s="3">
        <v>140</v>
      </c>
      <c r="I160" s="4">
        <v>10</v>
      </c>
      <c r="J160" s="3">
        <v>42</v>
      </c>
      <c r="K160" s="3">
        <v>378</v>
      </c>
      <c r="L160" s="3">
        <v>212.09</v>
      </c>
      <c r="M160" s="3">
        <v>165.91</v>
      </c>
      <c r="N160" t="s">
        <v>20</v>
      </c>
      <c r="O160" t="s">
        <v>39</v>
      </c>
    </row>
    <row r="161" spans="1:15" x14ac:dyDescent="0.35">
      <c r="A161" t="s">
        <v>226</v>
      </c>
      <c r="B161" s="2">
        <v>46210</v>
      </c>
      <c r="C161" t="s">
        <v>43</v>
      </c>
      <c r="D161" t="s">
        <v>44</v>
      </c>
      <c r="E161" t="s">
        <v>86</v>
      </c>
      <c r="F161" t="s">
        <v>49</v>
      </c>
      <c r="G161">
        <v>8</v>
      </c>
      <c r="H161" s="3">
        <v>200</v>
      </c>
      <c r="I161" s="4">
        <v>20</v>
      </c>
      <c r="J161" s="3">
        <v>320</v>
      </c>
      <c r="K161" s="3">
        <v>1280</v>
      </c>
      <c r="L161" s="3">
        <v>789.65</v>
      </c>
      <c r="M161" s="3">
        <v>490.35</v>
      </c>
      <c r="N161" t="s">
        <v>34</v>
      </c>
      <c r="O161" t="s">
        <v>31</v>
      </c>
    </row>
    <row r="162" spans="1:15" x14ac:dyDescent="0.35">
      <c r="A162" t="s">
        <v>227</v>
      </c>
      <c r="B162" s="2">
        <v>46213</v>
      </c>
      <c r="C162" t="s">
        <v>43</v>
      </c>
      <c r="D162" t="s">
        <v>44</v>
      </c>
      <c r="E162" t="s">
        <v>56</v>
      </c>
      <c r="F162" t="s">
        <v>57</v>
      </c>
      <c r="G162">
        <v>4</v>
      </c>
      <c r="H162" s="3">
        <v>90</v>
      </c>
      <c r="I162" s="4">
        <v>5</v>
      </c>
      <c r="J162" s="3">
        <v>18</v>
      </c>
      <c r="K162" s="3">
        <v>342</v>
      </c>
      <c r="L162" s="3">
        <v>187.39</v>
      </c>
      <c r="M162" s="3">
        <v>154.61000000000001</v>
      </c>
      <c r="N162" t="s">
        <v>3</v>
      </c>
      <c r="O162" t="s">
        <v>41</v>
      </c>
    </row>
    <row r="163" spans="1:15" x14ac:dyDescent="0.35">
      <c r="A163" t="s">
        <v>228</v>
      </c>
      <c r="B163" s="2">
        <v>46213</v>
      </c>
      <c r="C163" t="s">
        <v>81</v>
      </c>
      <c r="D163" t="s">
        <v>82</v>
      </c>
      <c r="E163" t="s">
        <v>38</v>
      </c>
      <c r="F163" t="s">
        <v>30</v>
      </c>
      <c r="G163">
        <v>5</v>
      </c>
      <c r="H163" s="3">
        <v>220</v>
      </c>
      <c r="I163" s="4">
        <v>20</v>
      </c>
      <c r="J163" s="3">
        <v>220</v>
      </c>
      <c r="K163" s="3">
        <v>880</v>
      </c>
      <c r="L163" s="3">
        <v>388.01</v>
      </c>
      <c r="M163" s="3">
        <v>491.99</v>
      </c>
      <c r="N163" t="s">
        <v>34</v>
      </c>
      <c r="O163" t="s">
        <v>39</v>
      </c>
    </row>
    <row r="164" spans="1:15" x14ac:dyDescent="0.35">
      <c r="A164" t="s">
        <v>229</v>
      </c>
      <c r="B164" s="2">
        <v>46214</v>
      </c>
      <c r="C164" t="s">
        <v>81</v>
      </c>
      <c r="D164" t="s">
        <v>82</v>
      </c>
      <c r="E164" t="s">
        <v>61</v>
      </c>
      <c r="F164" t="s">
        <v>57</v>
      </c>
      <c r="G164">
        <v>3</v>
      </c>
      <c r="H164" s="3">
        <v>100</v>
      </c>
      <c r="I164" s="4">
        <v>10</v>
      </c>
      <c r="J164" s="3">
        <v>30</v>
      </c>
      <c r="K164" s="3">
        <v>270</v>
      </c>
      <c r="L164" s="3">
        <v>143.76</v>
      </c>
      <c r="M164" s="3">
        <v>126.24</v>
      </c>
      <c r="N164" t="s">
        <v>3</v>
      </c>
      <c r="O164" t="s">
        <v>21</v>
      </c>
    </row>
    <row r="165" spans="1:15" x14ac:dyDescent="0.35">
      <c r="A165" t="s">
        <v>230</v>
      </c>
      <c r="B165" s="2">
        <v>46215</v>
      </c>
      <c r="C165" t="s">
        <v>23</v>
      </c>
      <c r="D165" t="s">
        <v>24</v>
      </c>
      <c r="E165" t="s">
        <v>75</v>
      </c>
      <c r="F165" t="s">
        <v>19</v>
      </c>
      <c r="G165">
        <v>3</v>
      </c>
      <c r="H165" s="3">
        <v>800</v>
      </c>
      <c r="I165" s="4">
        <v>20</v>
      </c>
      <c r="J165" s="3">
        <v>480</v>
      </c>
      <c r="K165" s="3">
        <v>1920</v>
      </c>
      <c r="L165" s="3">
        <v>1158.28</v>
      </c>
      <c r="M165" s="3">
        <v>761.72</v>
      </c>
      <c r="N165" t="s">
        <v>20</v>
      </c>
      <c r="O165" t="s">
        <v>26</v>
      </c>
    </row>
    <row r="166" spans="1:15" x14ac:dyDescent="0.35">
      <c r="A166" t="s">
        <v>231</v>
      </c>
      <c r="B166" s="2">
        <v>46215</v>
      </c>
      <c r="C166" t="s">
        <v>112</v>
      </c>
      <c r="D166" t="s">
        <v>113</v>
      </c>
      <c r="E166" t="s">
        <v>33</v>
      </c>
      <c r="F166" t="s">
        <v>19</v>
      </c>
      <c r="G166">
        <v>5</v>
      </c>
      <c r="H166" s="3">
        <v>900</v>
      </c>
      <c r="I166" s="4">
        <v>0</v>
      </c>
      <c r="J166" s="3">
        <v>0</v>
      </c>
      <c r="K166" s="3">
        <v>4500</v>
      </c>
      <c r="L166" s="3">
        <v>2686.36</v>
      </c>
      <c r="M166" s="3">
        <v>1813.64</v>
      </c>
      <c r="N166" t="s">
        <v>3</v>
      </c>
      <c r="O166" t="s">
        <v>21</v>
      </c>
    </row>
    <row r="167" spans="1:15" x14ac:dyDescent="0.35">
      <c r="A167" t="s">
        <v>232</v>
      </c>
      <c r="B167" s="2">
        <v>46219</v>
      </c>
      <c r="C167" t="s">
        <v>54</v>
      </c>
      <c r="D167" t="s">
        <v>70</v>
      </c>
      <c r="E167" t="s">
        <v>56</v>
      </c>
      <c r="F167" t="s">
        <v>57</v>
      </c>
      <c r="G167">
        <v>3</v>
      </c>
      <c r="H167" s="3">
        <v>90</v>
      </c>
      <c r="I167" s="4">
        <v>0</v>
      </c>
      <c r="J167" s="3">
        <v>0</v>
      </c>
      <c r="K167" s="3">
        <v>270</v>
      </c>
      <c r="L167" s="3">
        <v>162.68</v>
      </c>
      <c r="M167" s="3">
        <v>107.32</v>
      </c>
      <c r="N167" t="s">
        <v>34</v>
      </c>
      <c r="O167" t="s">
        <v>31</v>
      </c>
    </row>
    <row r="168" spans="1:15" x14ac:dyDescent="0.35">
      <c r="A168" t="s">
        <v>233</v>
      </c>
      <c r="B168" s="2">
        <v>46221</v>
      </c>
      <c r="C168" t="s">
        <v>112</v>
      </c>
      <c r="D168" t="s">
        <v>113</v>
      </c>
      <c r="E168" t="s">
        <v>38</v>
      </c>
      <c r="F168" t="s">
        <v>30</v>
      </c>
      <c r="G168">
        <v>7</v>
      </c>
      <c r="H168" s="3">
        <v>220</v>
      </c>
      <c r="I168" s="4">
        <v>20</v>
      </c>
      <c r="J168" s="3">
        <v>308</v>
      </c>
      <c r="K168" s="3">
        <v>1232</v>
      </c>
      <c r="L168" s="3">
        <v>533.84</v>
      </c>
      <c r="M168" s="3">
        <v>698.16</v>
      </c>
      <c r="N168" t="s">
        <v>20</v>
      </c>
      <c r="O168" t="s">
        <v>26</v>
      </c>
    </row>
    <row r="169" spans="1:15" x14ac:dyDescent="0.35">
      <c r="A169" t="s">
        <v>234</v>
      </c>
      <c r="B169" s="2">
        <v>46223</v>
      </c>
      <c r="C169" t="s">
        <v>54</v>
      </c>
      <c r="D169" t="s">
        <v>55</v>
      </c>
      <c r="E169" t="s">
        <v>52</v>
      </c>
      <c r="F169" t="s">
        <v>19</v>
      </c>
      <c r="G169">
        <v>3</v>
      </c>
      <c r="H169" s="3">
        <v>850</v>
      </c>
      <c r="I169" s="4">
        <v>0</v>
      </c>
      <c r="J169" s="3">
        <v>0</v>
      </c>
      <c r="K169" s="3">
        <v>2550</v>
      </c>
      <c r="L169" s="3">
        <v>1142.53</v>
      </c>
      <c r="M169" s="3">
        <v>1407.47</v>
      </c>
      <c r="N169" t="s">
        <v>3</v>
      </c>
      <c r="O169" t="s">
        <v>26</v>
      </c>
    </row>
    <row r="170" spans="1:15" x14ac:dyDescent="0.35">
      <c r="A170" t="s">
        <v>235</v>
      </c>
      <c r="B170" s="2">
        <v>46223</v>
      </c>
      <c r="C170" t="s">
        <v>23</v>
      </c>
      <c r="D170" t="s">
        <v>28</v>
      </c>
      <c r="E170" t="s">
        <v>25</v>
      </c>
      <c r="F170" t="s">
        <v>19</v>
      </c>
      <c r="G170">
        <v>1</v>
      </c>
      <c r="H170" s="3">
        <v>750</v>
      </c>
      <c r="I170" s="4">
        <v>0</v>
      </c>
      <c r="J170" s="3">
        <v>0</v>
      </c>
      <c r="K170" s="3">
        <v>750</v>
      </c>
      <c r="L170" s="3">
        <v>463.56</v>
      </c>
      <c r="M170" s="3">
        <v>286.44</v>
      </c>
      <c r="N170" t="s">
        <v>34</v>
      </c>
      <c r="O170" t="s">
        <v>31</v>
      </c>
    </row>
    <row r="171" spans="1:15" x14ac:dyDescent="0.35">
      <c r="A171" t="s">
        <v>236</v>
      </c>
      <c r="B171" s="2">
        <v>46224</v>
      </c>
      <c r="C171" t="s">
        <v>23</v>
      </c>
      <c r="D171" t="s">
        <v>28</v>
      </c>
      <c r="E171" t="s">
        <v>33</v>
      </c>
      <c r="F171" t="s">
        <v>19</v>
      </c>
      <c r="G171">
        <v>1</v>
      </c>
      <c r="H171" s="3">
        <v>900</v>
      </c>
      <c r="I171" s="4">
        <v>20</v>
      </c>
      <c r="J171" s="3">
        <v>180</v>
      </c>
      <c r="K171" s="3">
        <v>720</v>
      </c>
      <c r="L171" s="3">
        <v>328.21</v>
      </c>
      <c r="M171" s="3">
        <v>391.79</v>
      </c>
      <c r="N171" t="s">
        <v>20</v>
      </c>
      <c r="O171" t="s">
        <v>39</v>
      </c>
    </row>
    <row r="172" spans="1:15" x14ac:dyDescent="0.35">
      <c r="A172" t="s">
        <v>237</v>
      </c>
      <c r="B172" s="2">
        <v>46224</v>
      </c>
      <c r="C172" t="s">
        <v>16</v>
      </c>
      <c r="D172" t="s">
        <v>17</v>
      </c>
      <c r="E172" t="s">
        <v>100</v>
      </c>
      <c r="F172" t="s">
        <v>30</v>
      </c>
      <c r="G172">
        <v>7</v>
      </c>
      <c r="H172" s="3">
        <v>260</v>
      </c>
      <c r="I172" s="4">
        <v>0</v>
      </c>
      <c r="J172" s="3">
        <v>0</v>
      </c>
      <c r="K172" s="3">
        <v>1820</v>
      </c>
      <c r="L172" s="3">
        <v>1100.6600000000001</v>
      </c>
      <c r="M172" s="3">
        <v>719.34</v>
      </c>
      <c r="N172" t="s">
        <v>20</v>
      </c>
      <c r="O172" t="s">
        <v>39</v>
      </c>
    </row>
    <row r="173" spans="1:15" x14ac:dyDescent="0.35">
      <c r="A173" t="s">
        <v>238</v>
      </c>
      <c r="B173" s="2">
        <v>46226</v>
      </c>
      <c r="C173" t="s">
        <v>54</v>
      </c>
      <c r="D173" t="s">
        <v>70</v>
      </c>
      <c r="E173" t="s">
        <v>29</v>
      </c>
      <c r="F173" t="s">
        <v>30</v>
      </c>
      <c r="G173">
        <v>1</v>
      </c>
      <c r="H173" s="3">
        <v>280</v>
      </c>
      <c r="I173" s="4">
        <v>15</v>
      </c>
      <c r="J173" s="3">
        <v>42</v>
      </c>
      <c r="K173" s="3">
        <v>238</v>
      </c>
      <c r="L173" s="3">
        <v>142.93</v>
      </c>
      <c r="M173" s="3">
        <v>95.07</v>
      </c>
      <c r="N173" t="s">
        <v>34</v>
      </c>
      <c r="O173" t="s">
        <v>31</v>
      </c>
    </row>
    <row r="174" spans="1:15" x14ac:dyDescent="0.35">
      <c r="A174" t="s">
        <v>239</v>
      </c>
      <c r="B174" s="2">
        <v>46226</v>
      </c>
      <c r="C174" t="s">
        <v>112</v>
      </c>
      <c r="D174" t="s">
        <v>113</v>
      </c>
      <c r="E174" t="s">
        <v>68</v>
      </c>
      <c r="F174" t="s">
        <v>66</v>
      </c>
      <c r="G174">
        <v>2</v>
      </c>
      <c r="H174" s="3">
        <v>160</v>
      </c>
      <c r="I174" s="4">
        <v>15</v>
      </c>
      <c r="J174" s="3">
        <v>48</v>
      </c>
      <c r="K174" s="3">
        <v>272</v>
      </c>
      <c r="L174" s="3">
        <v>121.94</v>
      </c>
      <c r="M174" s="3">
        <v>150.06</v>
      </c>
      <c r="N174" t="s">
        <v>20</v>
      </c>
      <c r="O174" t="s">
        <v>31</v>
      </c>
    </row>
    <row r="175" spans="1:15" x14ac:dyDescent="0.35">
      <c r="A175" t="s">
        <v>240</v>
      </c>
      <c r="B175" s="2">
        <v>46228</v>
      </c>
      <c r="C175" t="s">
        <v>54</v>
      </c>
      <c r="D175" t="s">
        <v>55</v>
      </c>
      <c r="E175" t="s">
        <v>100</v>
      </c>
      <c r="F175" t="s">
        <v>30</v>
      </c>
      <c r="G175">
        <v>7</v>
      </c>
      <c r="H175" s="3">
        <v>260</v>
      </c>
      <c r="I175" s="4">
        <v>0</v>
      </c>
      <c r="J175" s="3">
        <v>0</v>
      </c>
      <c r="K175" s="3">
        <v>1820</v>
      </c>
      <c r="L175" s="3">
        <v>804.13</v>
      </c>
      <c r="M175" s="3">
        <v>1015.87</v>
      </c>
      <c r="N175" t="s">
        <v>34</v>
      </c>
      <c r="O175" t="s">
        <v>39</v>
      </c>
    </row>
    <row r="176" spans="1:15" x14ac:dyDescent="0.35">
      <c r="A176" t="s">
        <v>241</v>
      </c>
      <c r="B176" s="2">
        <v>46228</v>
      </c>
      <c r="C176" t="s">
        <v>63</v>
      </c>
      <c r="D176" t="s">
        <v>64</v>
      </c>
      <c r="E176" t="s">
        <v>33</v>
      </c>
      <c r="F176" t="s">
        <v>19</v>
      </c>
      <c r="G176">
        <v>8</v>
      </c>
      <c r="H176" s="3">
        <v>900</v>
      </c>
      <c r="I176" s="4">
        <v>0</v>
      </c>
      <c r="J176" s="3">
        <v>0</v>
      </c>
      <c r="K176" s="3">
        <v>7200</v>
      </c>
      <c r="L176" s="3">
        <v>3192.63</v>
      </c>
      <c r="M176" s="3">
        <v>4007.37</v>
      </c>
      <c r="N176" t="s">
        <v>3</v>
      </c>
      <c r="O176" t="s">
        <v>39</v>
      </c>
    </row>
    <row r="177" spans="1:15" x14ac:dyDescent="0.35">
      <c r="A177" t="s">
        <v>242</v>
      </c>
      <c r="B177" s="2">
        <v>46229</v>
      </c>
      <c r="C177" t="s">
        <v>81</v>
      </c>
      <c r="D177" t="s">
        <v>82</v>
      </c>
      <c r="E177" t="s">
        <v>38</v>
      </c>
      <c r="F177" t="s">
        <v>30</v>
      </c>
      <c r="G177">
        <v>3</v>
      </c>
      <c r="H177" s="3">
        <v>220</v>
      </c>
      <c r="I177" s="4">
        <v>5</v>
      </c>
      <c r="J177" s="3">
        <v>33</v>
      </c>
      <c r="K177" s="3">
        <v>627</v>
      </c>
      <c r="L177" s="3">
        <v>314.11</v>
      </c>
      <c r="M177" s="3">
        <v>312.89</v>
      </c>
      <c r="N177" t="s">
        <v>34</v>
      </c>
      <c r="O177" t="s">
        <v>39</v>
      </c>
    </row>
    <row r="178" spans="1:15" x14ac:dyDescent="0.35">
      <c r="A178" t="s">
        <v>243</v>
      </c>
      <c r="B178" s="2">
        <v>46230</v>
      </c>
      <c r="C178" t="s">
        <v>23</v>
      </c>
      <c r="D178" t="s">
        <v>28</v>
      </c>
      <c r="E178" t="s">
        <v>103</v>
      </c>
      <c r="F178" t="s">
        <v>66</v>
      </c>
      <c r="G178">
        <v>2</v>
      </c>
      <c r="H178" s="3">
        <v>170</v>
      </c>
      <c r="I178" s="4">
        <v>15</v>
      </c>
      <c r="J178" s="3">
        <v>51</v>
      </c>
      <c r="K178" s="3">
        <v>289</v>
      </c>
      <c r="L178" s="3">
        <v>132.84</v>
      </c>
      <c r="M178" s="3">
        <v>156.16</v>
      </c>
      <c r="N178" t="s">
        <v>34</v>
      </c>
      <c r="O178" t="s">
        <v>39</v>
      </c>
    </row>
    <row r="179" spans="1:15" x14ac:dyDescent="0.35">
      <c r="A179" t="s">
        <v>244</v>
      </c>
      <c r="B179" s="2">
        <v>46232</v>
      </c>
      <c r="C179" t="s">
        <v>81</v>
      </c>
      <c r="D179" t="s">
        <v>82</v>
      </c>
      <c r="E179" t="s">
        <v>56</v>
      </c>
      <c r="F179" t="s">
        <v>57</v>
      </c>
      <c r="G179">
        <v>3</v>
      </c>
      <c r="H179" s="3">
        <v>90</v>
      </c>
      <c r="I179" s="4">
        <v>10</v>
      </c>
      <c r="J179" s="3">
        <v>27</v>
      </c>
      <c r="K179" s="3">
        <v>243</v>
      </c>
      <c r="L179" s="3">
        <v>102.42</v>
      </c>
      <c r="M179" s="3">
        <v>140.58000000000001</v>
      </c>
      <c r="N179" t="s">
        <v>3</v>
      </c>
      <c r="O179" t="s">
        <v>21</v>
      </c>
    </row>
    <row r="180" spans="1:15" x14ac:dyDescent="0.35">
      <c r="A180" t="s">
        <v>245</v>
      </c>
      <c r="B180" s="2">
        <v>46234</v>
      </c>
      <c r="C180" t="s">
        <v>16</v>
      </c>
      <c r="D180" t="s">
        <v>47</v>
      </c>
      <c r="E180" t="s">
        <v>18</v>
      </c>
      <c r="F180" t="s">
        <v>19</v>
      </c>
      <c r="G180">
        <v>1</v>
      </c>
      <c r="H180" s="3">
        <v>950</v>
      </c>
      <c r="I180" s="4">
        <v>15</v>
      </c>
      <c r="J180" s="3">
        <v>142.5</v>
      </c>
      <c r="K180" s="3">
        <v>807.5</v>
      </c>
      <c r="L180" s="3">
        <v>348.12</v>
      </c>
      <c r="M180" s="3">
        <v>459.38</v>
      </c>
      <c r="N180" t="s">
        <v>3</v>
      </c>
      <c r="O180" t="s">
        <v>26</v>
      </c>
    </row>
    <row r="181" spans="1:15" x14ac:dyDescent="0.35">
      <c r="A181" t="s">
        <v>246</v>
      </c>
      <c r="B181" s="2">
        <v>46235</v>
      </c>
      <c r="C181" t="s">
        <v>43</v>
      </c>
      <c r="D181" t="s">
        <v>44</v>
      </c>
      <c r="E181" t="s">
        <v>83</v>
      </c>
      <c r="F181" t="s">
        <v>84</v>
      </c>
      <c r="G181">
        <v>4</v>
      </c>
      <c r="H181" s="3">
        <v>450</v>
      </c>
      <c r="I181" s="4">
        <v>20</v>
      </c>
      <c r="J181" s="3">
        <v>360</v>
      </c>
      <c r="K181" s="3">
        <v>1440</v>
      </c>
      <c r="L181" s="3">
        <v>738.71</v>
      </c>
      <c r="M181" s="3">
        <v>701.29</v>
      </c>
      <c r="N181" t="s">
        <v>34</v>
      </c>
      <c r="O181" t="s">
        <v>21</v>
      </c>
    </row>
    <row r="182" spans="1:15" x14ac:dyDescent="0.35">
      <c r="A182" t="s">
        <v>247</v>
      </c>
      <c r="B182" s="2">
        <v>46238</v>
      </c>
      <c r="C182" t="s">
        <v>81</v>
      </c>
      <c r="D182" t="s">
        <v>82</v>
      </c>
      <c r="E182" t="s">
        <v>106</v>
      </c>
      <c r="F182" t="s">
        <v>66</v>
      </c>
      <c r="G182">
        <v>3</v>
      </c>
      <c r="H182" s="3">
        <v>140</v>
      </c>
      <c r="I182" s="4">
        <v>0</v>
      </c>
      <c r="J182" s="3">
        <v>0</v>
      </c>
      <c r="K182" s="3">
        <v>420</v>
      </c>
      <c r="L182" s="3">
        <v>239.13</v>
      </c>
      <c r="M182" s="3">
        <v>180.87</v>
      </c>
      <c r="N182" t="s">
        <v>3</v>
      </c>
      <c r="O182" t="s">
        <v>31</v>
      </c>
    </row>
    <row r="183" spans="1:15" x14ac:dyDescent="0.35">
      <c r="A183" t="s">
        <v>248</v>
      </c>
      <c r="B183" s="2">
        <v>46240</v>
      </c>
      <c r="C183" t="s">
        <v>81</v>
      </c>
      <c r="D183" t="s">
        <v>82</v>
      </c>
      <c r="E183" t="s">
        <v>48</v>
      </c>
      <c r="F183" t="s">
        <v>49</v>
      </c>
      <c r="G183">
        <v>4</v>
      </c>
      <c r="H183" s="3">
        <v>220</v>
      </c>
      <c r="I183" s="4">
        <v>10</v>
      </c>
      <c r="J183" s="3">
        <v>88</v>
      </c>
      <c r="K183" s="3">
        <v>792</v>
      </c>
      <c r="L183" s="3">
        <v>446.65</v>
      </c>
      <c r="M183" s="3">
        <v>345.35</v>
      </c>
      <c r="N183" t="s">
        <v>20</v>
      </c>
      <c r="O183" t="s">
        <v>31</v>
      </c>
    </row>
    <row r="184" spans="1:15" x14ac:dyDescent="0.35">
      <c r="A184" t="s">
        <v>249</v>
      </c>
      <c r="B184" s="2">
        <v>46243</v>
      </c>
      <c r="C184" t="s">
        <v>16</v>
      </c>
      <c r="D184" t="s">
        <v>47</v>
      </c>
      <c r="E184" t="s">
        <v>83</v>
      </c>
      <c r="F184" t="s">
        <v>84</v>
      </c>
      <c r="G184">
        <v>3</v>
      </c>
      <c r="H184" s="3">
        <v>450</v>
      </c>
      <c r="I184" s="4">
        <v>10</v>
      </c>
      <c r="J184" s="3">
        <v>135</v>
      </c>
      <c r="K184" s="3">
        <v>1215</v>
      </c>
      <c r="L184" s="3">
        <v>574.91</v>
      </c>
      <c r="M184" s="3">
        <v>640.09</v>
      </c>
      <c r="N184" t="s">
        <v>34</v>
      </c>
      <c r="O184" t="s">
        <v>26</v>
      </c>
    </row>
    <row r="185" spans="1:15" x14ac:dyDescent="0.35">
      <c r="A185" t="s">
        <v>250</v>
      </c>
      <c r="B185" s="2">
        <v>46247</v>
      </c>
      <c r="C185" t="s">
        <v>43</v>
      </c>
      <c r="D185" t="s">
        <v>44</v>
      </c>
      <c r="E185" t="s">
        <v>25</v>
      </c>
      <c r="F185" t="s">
        <v>19</v>
      </c>
      <c r="G185">
        <v>3</v>
      </c>
      <c r="H185" s="3">
        <v>750</v>
      </c>
      <c r="I185" s="4">
        <v>20</v>
      </c>
      <c r="J185" s="3">
        <v>450</v>
      </c>
      <c r="K185" s="3">
        <v>1800</v>
      </c>
      <c r="L185" s="3">
        <v>880.87</v>
      </c>
      <c r="M185" s="3">
        <v>919.13</v>
      </c>
      <c r="N185" t="s">
        <v>20</v>
      </c>
      <c r="O185" t="s">
        <v>26</v>
      </c>
    </row>
    <row r="186" spans="1:15" x14ac:dyDescent="0.35">
      <c r="A186" t="s">
        <v>251</v>
      </c>
      <c r="B186" s="2">
        <v>46247</v>
      </c>
      <c r="C186" t="s">
        <v>23</v>
      </c>
      <c r="D186" t="s">
        <v>24</v>
      </c>
      <c r="E186" t="s">
        <v>86</v>
      </c>
      <c r="F186" t="s">
        <v>49</v>
      </c>
      <c r="G186">
        <v>3</v>
      </c>
      <c r="H186" s="3">
        <v>200</v>
      </c>
      <c r="I186" s="4">
        <v>0</v>
      </c>
      <c r="J186" s="3">
        <v>0</v>
      </c>
      <c r="K186" s="3">
        <v>600</v>
      </c>
      <c r="L186" s="3">
        <v>362.52</v>
      </c>
      <c r="M186" s="3">
        <v>237.48</v>
      </c>
      <c r="N186" t="s">
        <v>3</v>
      </c>
      <c r="O186" t="s">
        <v>26</v>
      </c>
    </row>
    <row r="187" spans="1:15" x14ac:dyDescent="0.35">
      <c r="A187" t="s">
        <v>252</v>
      </c>
      <c r="B187" s="2">
        <v>46249</v>
      </c>
      <c r="C187" t="s">
        <v>81</v>
      </c>
      <c r="D187" t="s">
        <v>82</v>
      </c>
      <c r="E187" t="s">
        <v>86</v>
      </c>
      <c r="F187" t="s">
        <v>49</v>
      </c>
      <c r="G187">
        <v>2</v>
      </c>
      <c r="H187" s="3">
        <v>200</v>
      </c>
      <c r="I187" s="4">
        <v>10</v>
      </c>
      <c r="J187" s="3">
        <v>40</v>
      </c>
      <c r="K187" s="3">
        <v>360</v>
      </c>
      <c r="L187" s="3">
        <v>184.38</v>
      </c>
      <c r="M187" s="3">
        <v>175.62</v>
      </c>
      <c r="N187" t="s">
        <v>34</v>
      </c>
      <c r="O187" t="s">
        <v>41</v>
      </c>
    </row>
    <row r="188" spans="1:15" x14ac:dyDescent="0.35">
      <c r="A188" t="s">
        <v>253</v>
      </c>
      <c r="B188" s="2">
        <v>46250</v>
      </c>
      <c r="C188" t="s">
        <v>36</v>
      </c>
      <c r="D188" t="s">
        <v>37</v>
      </c>
      <c r="E188" t="s">
        <v>106</v>
      </c>
      <c r="F188" t="s">
        <v>66</v>
      </c>
      <c r="G188">
        <v>2</v>
      </c>
      <c r="H188" s="3">
        <v>140</v>
      </c>
      <c r="I188" s="4">
        <v>15</v>
      </c>
      <c r="J188" s="3">
        <v>42</v>
      </c>
      <c r="K188" s="3">
        <v>238</v>
      </c>
      <c r="L188" s="3">
        <v>115.3</v>
      </c>
      <c r="M188" s="3">
        <v>122.7</v>
      </c>
      <c r="N188" t="s">
        <v>34</v>
      </c>
      <c r="O188" t="s">
        <v>39</v>
      </c>
    </row>
    <row r="189" spans="1:15" x14ac:dyDescent="0.35">
      <c r="A189" t="s">
        <v>254</v>
      </c>
      <c r="B189" s="2">
        <v>46251</v>
      </c>
      <c r="C189" t="s">
        <v>36</v>
      </c>
      <c r="D189" t="s">
        <v>37</v>
      </c>
      <c r="E189" t="s">
        <v>100</v>
      </c>
      <c r="F189" t="s">
        <v>30</v>
      </c>
      <c r="G189">
        <v>4</v>
      </c>
      <c r="H189" s="3">
        <v>260</v>
      </c>
      <c r="I189" s="4">
        <v>0</v>
      </c>
      <c r="J189" s="3">
        <v>0</v>
      </c>
      <c r="K189" s="3">
        <v>1040</v>
      </c>
      <c r="L189" s="3">
        <v>542.54</v>
      </c>
      <c r="M189" s="3">
        <v>497.46</v>
      </c>
      <c r="N189" t="s">
        <v>34</v>
      </c>
      <c r="O189" t="s">
        <v>31</v>
      </c>
    </row>
    <row r="190" spans="1:15" x14ac:dyDescent="0.35">
      <c r="A190" t="s">
        <v>255</v>
      </c>
      <c r="B190" s="2">
        <v>46251</v>
      </c>
      <c r="C190" t="s">
        <v>63</v>
      </c>
      <c r="D190" t="s">
        <v>64</v>
      </c>
      <c r="E190" t="s">
        <v>106</v>
      </c>
      <c r="F190" t="s">
        <v>66</v>
      </c>
      <c r="G190">
        <v>4</v>
      </c>
      <c r="H190" s="3">
        <v>140</v>
      </c>
      <c r="I190" s="4">
        <v>0</v>
      </c>
      <c r="J190" s="3">
        <v>0</v>
      </c>
      <c r="K190" s="3">
        <v>560</v>
      </c>
      <c r="L190" s="3">
        <v>334.84</v>
      </c>
      <c r="M190" s="3">
        <v>225.16</v>
      </c>
      <c r="N190" t="s">
        <v>20</v>
      </c>
      <c r="O190" t="s">
        <v>39</v>
      </c>
    </row>
    <row r="191" spans="1:15" x14ac:dyDescent="0.35">
      <c r="A191" t="s">
        <v>256</v>
      </c>
      <c r="B191" s="2">
        <v>46253</v>
      </c>
      <c r="C191" t="s">
        <v>23</v>
      </c>
      <c r="D191" t="s">
        <v>28</v>
      </c>
      <c r="E191" t="s">
        <v>83</v>
      </c>
      <c r="F191" t="s">
        <v>84</v>
      </c>
      <c r="G191">
        <v>2</v>
      </c>
      <c r="H191" s="3">
        <v>450</v>
      </c>
      <c r="I191" s="4">
        <v>0</v>
      </c>
      <c r="J191" s="3">
        <v>0</v>
      </c>
      <c r="K191" s="3">
        <v>900</v>
      </c>
      <c r="L191" s="3">
        <v>432.85</v>
      </c>
      <c r="M191" s="3">
        <v>467.15</v>
      </c>
      <c r="N191" t="s">
        <v>20</v>
      </c>
      <c r="O191" t="s">
        <v>39</v>
      </c>
    </row>
    <row r="192" spans="1:15" x14ac:dyDescent="0.35">
      <c r="A192" t="s">
        <v>257</v>
      </c>
      <c r="B192" s="2">
        <v>46254</v>
      </c>
      <c r="C192" t="s">
        <v>43</v>
      </c>
      <c r="D192" t="s">
        <v>44</v>
      </c>
      <c r="E192" t="s">
        <v>106</v>
      </c>
      <c r="F192" t="s">
        <v>66</v>
      </c>
      <c r="G192">
        <v>1</v>
      </c>
      <c r="H192" s="3">
        <v>140</v>
      </c>
      <c r="I192" s="4">
        <v>10</v>
      </c>
      <c r="J192" s="3">
        <v>14</v>
      </c>
      <c r="K192" s="3">
        <v>126</v>
      </c>
      <c r="L192" s="3">
        <v>69.989999999999995</v>
      </c>
      <c r="M192" s="3">
        <v>56.01</v>
      </c>
      <c r="N192" t="s">
        <v>3</v>
      </c>
      <c r="O192" t="s">
        <v>21</v>
      </c>
    </row>
    <row r="193" spans="1:15" x14ac:dyDescent="0.35">
      <c r="A193" t="s">
        <v>258</v>
      </c>
      <c r="B193" s="2">
        <v>46256</v>
      </c>
      <c r="C193" t="s">
        <v>112</v>
      </c>
      <c r="D193" t="s">
        <v>113</v>
      </c>
      <c r="E193" t="s">
        <v>65</v>
      </c>
      <c r="F193" t="s">
        <v>66</v>
      </c>
      <c r="G193">
        <v>3</v>
      </c>
      <c r="H193" s="3">
        <v>190</v>
      </c>
      <c r="I193" s="4">
        <v>20</v>
      </c>
      <c r="J193" s="3">
        <v>114</v>
      </c>
      <c r="K193" s="3">
        <v>456</v>
      </c>
      <c r="L193" s="3">
        <v>193.79</v>
      </c>
      <c r="M193" s="3">
        <v>262.20999999999998</v>
      </c>
      <c r="N193" t="s">
        <v>20</v>
      </c>
      <c r="O193" t="s">
        <v>39</v>
      </c>
    </row>
    <row r="194" spans="1:15" x14ac:dyDescent="0.35">
      <c r="A194" t="s">
        <v>259</v>
      </c>
      <c r="B194" s="2">
        <v>46258</v>
      </c>
      <c r="C194" t="s">
        <v>43</v>
      </c>
      <c r="D194" t="s">
        <v>44</v>
      </c>
      <c r="E194" t="s">
        <v>106</v>
      </c>
      <c r="F194" t="s">
        <v>66</v>
      </c>
      <c r="G194">
        <v>3</v>
      </c>
      <c r="H194" s="3">
        <v>140</v>
      </c>
      <c r="I194" s="4">
        <v>10</v>
      </c>
      <c r="J194" s="3">
        <v>42</v>
      </c>
      <c r="K194" s="3">
        <v>378</v>
      </c>
      <c r="L194" s="3">
        <v>192.2</v>
      </c>
      <c r="M194" s="3">
        <v>185.8</v>
      </c>
      <c r="N194" t="s">
        <v>3</v>
      </c>
      <c r="O194" t="s">
        <v>31</v>
      </c>
    </row>
    <row r="195" spans="1:15" x14ac:dyDescent="0.35">
      <c r="A195" t="s">
        <v>260</v>
      </c>
      <c r="B195" s="2">
        <v>46258</v>
      </c>
      <c r="C195" t="s">
        <v>23</v>
      </c>
      <c r="D195" t="s">
        <v>28</v>
      </c>
      <c r="E195" t="s">
        <v>29</v>
      </c>
      <c r="F195" t="s">
        <v>30</v>
      </c>
      <c r="G195">
        <v>7</v>
      </c>
      <c r="H195" s="3">
        <v>280</v>
      </c>
      <c r="I195" s="4">
        <v>20</v>
      </c>
      <c r="J195" s="3">
        <v>392</v>
      </c>
      <c r="K195" s="3">
        <v>1568</v>
      </c>
      <c r="L195" s="3">
        <v>900.69</v>
      </c>
      <c r="M195" s="3">
        <v>667.31</v>
      </c>
      <c r="N195" t="s">
        <v>34</v>
      </c>
      <c r="O195" t="s">
        <v>31</v>
      </c>
    </row>
    <row r="196" spans="1:15" x14ac:dyDescent="0.35">
      <c r="A196" t="s">
        <v>261</v>
      </c>
      <c r="B196" s="2">
        <v>46258</v>
      </c>
      <c r="C196" t="s">
        <v>36</v>
      </c>
      <c r="D196" t="s">
        <v>37</v>
      </c>
      <c r="E196" t="s">
        <v>56</v>
      </c>
      <c r="F196" t="s">
        <v>57</v>
      </c>
      <c r="G196">
        <v>6</v>
      </c>
      <c r="H196" s="3">
        <v>90</v>
      </c>
      <c r="I196" s="4">
        <v>15</v>
      </c>
      <c r="J196" s="3">
        <v>81</v>
      </c>
      <c r="K196" s="3">
        <v>459</v>
      </c>
      <c r="L196" s="3">
        <v>224.59</v>
      </c>
      <c r="M196" s="3">
        <v>234.41</v>
      </c>
      <c r="N196" t="s">
        <v>3</v>
      </c>
      <c r="O196" t="s">
        <v>41</v>
      </c>
    </row>
    <row r="197" spans="1:15" x14ac:dyDescent="0.35">
      <c r="A197" t="s">
        <v>262</v>
      </c>
      <c r="B197" s="2">
        <v>46258</v>
      </c>
      <c r="C197" t="s">
        <v>23</v>
      </c>
      <c r="D197" t="s">
        <v>24</v>
      </c>
      <c r="E197" t="s">
        <v>68</v>
      </c>
      <c r="F197" t="s">
        <v>66</v>
      </c>
      <c r="G197">
        <v>4</v>
      </c>
      <c r="H197" s="3">
        <v>160</v>
      </c>
      <c r="I197" s="4">
        <v>10</v>
      </c>
      <c r="J197" s="3">
        <v>64</v>
      </c>
      <c r="K197" s="3">
        <v>576</v>
      </c>
      <c r="L197" s="3">
        <v>355.35</v>
      </c>
      <c r="M197" s="3">
        <v>220.65</v>
      </c>
      <c r="N197" t="s">
        <v>20</v>
      </c>
      <c r="O197" t="s">
        <v>31</v>
      </c>
    </row>
    <row r="198" spans="1:15" x14ac:dyDescent="0.35">
      <c r="A198" t="s">
        <v>263</v>
      </c>
      <c r="B198" s="2">
        <v>46263</v>
      </c>
      <c r="C198" t="s">
        <v>81</v>
      </c>
      <c r="D198" t="s">
        <v>82</v>
      </c>
      <c r="E198" t="s">
        <v>25</v>
      </c>
      <c r="F198" t="s">
        <v>19</v>
      </c>
      <c r="G198">
        <v>7</v>
      </c>
      <c r="H198" s="3">
        <v>750</v>
      </c>
      <c r="I198" s="4">
        <v>0</v>
      </c>
      <c r="J198" s="3">
        <v>0</v>
      </c>
      <c r="K198" s="3">
        <v>5250</v>
      </c>
      <c r="L198" s="3">
        <v>2983.7</v>
      </c>
      <c r="M198" s="3">
        <v>2266.3000000000002</v>
      </c>
      <c r="N198" t="s">
        <v>20</v>
      </c>
      <c r="O198" t="s">
        <v>31</v>
      </c>
    </row>
    <row r="199" spans="1:15" x14ac:dyDescent="0.35">
      <c r="A199" t="s">
        <v>264</v>
      </c>
      <c r="B199" s="2">
        <v>46264</v>
      </c>
      <c r="C199" t="s">
        <v>43</v>
      </c>
      <c r="D199" t="s">
        <v>44</v>
      </c>
      <c r="E199" t="s">
        <v>29</v>
      </c>
      <c r="F199" t="s">
        <v>30</v>
      </c>
      <c r="G199">
        <v>1</v>
      </c>
      <c r="H199" s="3">
        <v>280</v>
      </c>
      <c r="I199" s="4">
        <v>0</v>
      </c>
      <c r="J199" s="3">
        <v>0</v>
      </c>
      <c r="K199" s="3">
        <v>280</v>
      </c>
      <c r="L199" s="3">
        <v>146.52000000000001</v>
      </c>
      <c r="M199" s="3">
        <v>133.47999999999999</v>
      </c>
      <c r="N199" t="s">
        <v>3</v>
      </c>
      <c r="O199" t="s">
        <v>39</v>
      </c>
    </row>
    <row r="200" spans="1:15" x14ac:dyDescent="0.35">
      <c r="A200" t="s">
        <v>265</v>
      </c>
      <c r="B200" s="2">
        <v>46265</v>
      </c>
      <c r="C200" t="s">
        <v>16</v>
      </c>
      <c r="D200" t="s">
        <v>47</v>
      </c>
      <c r="E200" t="s">
        <v>88</v>
      </c>
      <c r="F200" t="s">
        <v>49</v>
      </c>
      <c r="G200">
        <v>3</v>
      </c>
      <c r="H200" s="3">
        <v>180</v>
      </c>
      <c r="I200" s="4">
        <v>15</v>
      </c>
      <c r="J200" s="3">
        <v>81</v>
      </c>
      <c r="K200" s="3">
        <v>459</v>
      </c>
      <c r="L200" s="3">
        <v>281.99</v>
      </c>
      <c r="M200" s="3">
        <v>177.01</v>
      </c>
      <c r="N200" t="s">
        <v>20</v>
      </c>
      <c r="O200" t="s">
        <v>41</v>
      </c>
    </row>
    <row r="201" spans="1:15" x14ac:dyDescent="0.35">
      <c r="A201" t="s">
        <v>266</v>
      </c>
      <c r="B201" s="2">
        <v>46265</v>
      </c>
      <c r="C201" t="s">
        <v>112</v>
      </c>
      <c r="D201" t="s">
        <v>113</v>
      </c>
      <c r="E201" t="s">
        <v>52</v>
      </c>
      <c r="F201" t="s">
        <v>19</v>
      </c>
      <c r="G201">
        <v>6</v>
      </c>
      <c r="H201" s="3">
        <v>850</v>
      </c>
      <c r="I201" s="4">
        <v>15</v>
      </c>
      <c r="J201" s="3">
        <v>765</v>
      </c>
      <c r="K201" s="3">
        <v>4335</v>
      </c>
      <c r="L201" s="3">
        <v>2481.87</v>
      </c>
      <c r="M201" s="3">
        <v>1853.13</v>
      </c>
      <c r="N201" t="s">
        <v>20</v>
      </c>
      <c r="O201" t="s">
        <v>21</v>
      </c>
    </row>
  </sheetData>
  <autoFilter ref="A1:O20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Theobroma 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2026-09-02T15:43:20Z</dcterms:created>
  <dcterms:modified xsi:type="dcterms:W3CDTF">2026-09-04T17:51:06Z</dcterms:modified>
</cp:coreProperties>
</file>